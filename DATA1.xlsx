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viteeya.Shrav\Downloads\"/>
    </mc:Choice>
  </mc:AlternateContent>
  <bookViews>
    <workbookView xWindow="0" yWindow="0" windowWidth="19200" windowHeight="6140" activeTab="5"/>
  </bookViews>
  <sheets>
    <sheet name="FINANCE TRACKER" sheetId="1" r:id="rId1"/>
    <sheet name="EMPLOYEE MASTER" sheetId="2" r:id="rId2"/>
    <sheet name="SALESFORCE DATA" sheetId="3" r:id="rId3"/>
    <sheet name="DEMAND DATA" sheetId="4" r:id="rId4"/>
    <sheet name="BENCH DATA" sheetId="5" r:id="rId5"/>
    <sheet name="YTD FULFILLMENT DATA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<sst xmlns="http://schemas.openxmlformats.org/spreadsheetml/2006/main" count="677" uniqueCount="443">
  <si>
    <t/>
  </si>
  <si>
    <t>Measures</t>
  </si>
  <si>
    <t>C_USD</t>
  </si>
  <si>
    <t>Version</t>
  </si>
  <si>
    <t>ACTUAL_BUDGETRATE</t>
  </si>
  <si>
    <t>Date</t>
  </si>
  <si>
    <t>Apr25</t>
  </si>
  <si>
    <t>May25</t>
  </si>
  <si>
    <t>Jun25</t>
  </si>
  <si>
    <t>Q12026</t>
  </si>
  <si>
    <t>Jul25</t>
  </si>
  <si>
    <t>Aug25</t>
  </si>
  <si>
    <t>Sep25</t>
  </si>
  <si>
    <t>Q22026</t>
  </si>
  <si>
    <t>Oct25</t>
  </si>
  <si>
    <t>Nov25</t>
  </si>
  <si>
    <t>Dec25</t>
  </si>
  <si>
    <t>Q32026</t>
  </si>
  <si>
    <t>Jan26</t>
  </si>
  <si>
    <t>Feb26</t>
  </si>
  <si>
    <t>Mar26</t>
  </si>
  <si>
    <t>Q42026</t>
  </si>
  <si>
    <t>FY2026</t>
  </si>
  <si>
    <t>Cost Center</t>
  </si>
  <si>
    <t>Customer</t>
  </si>
  <si>
    <t>Account</t>
  </si>
  <si>
    <t>Employee No</t>
  </si>
  <si>
    <t xml:space="preserve">  Base 
Employee No</t>
  </si>
  <si>
    <t>Name</t>
  </si>
  <si>
    <t>Email</t>
  </si>
  <si>
    <t>Employee Type</t>
  </si>
  <si>
    <t>Employee SubGroup</t>
  </si>
  <si>
    <t>Trainee Category</t>
  </si>
  <si>
    <t>Gender</t>
  </si>
  <si>
    <t>Onsite/Offshore</t>
  </si>
  <si>
    <t>Company Code</t>
  </si>
  <si>
    <t>Company Name</t>
  </si>
  <si>
    <t>Country</t>
  </si>
  <si>
    <t>PA Code</t>
  </si>
  <si>
    <t>PA Name</t>
  </si>
  <si>
    <t>PSA</t>
  </si>
  <si>
    <t>Role Code</t>
  </si>
  <si>
    <t>Role Description</t>
  </si>
  <si>
    <t>Designation</t>
  </si>
  <si>
    <t>Designation Level</t>
  </si>
  <si>
    <t>Role Band</t>
  </si>
  <si>
    <t>DIS</t>
  </si>
  <si>
    <t>DISP</t>
  </si>
  <si>
    <t>Classifier</t>
  </si>
  <si>
    <t xml:space="preserve">Emp Practice </t>
  </si>
  <si>
    <t>Employee Group Practice</t>
  </si>
  <si>
    <t>Supervisor Empcode</t>
  </si>
  <si>
    <t>Supervisor Name</t>
  </si>
  <si>
    <t>Career Manager Code</t>
  </si>
  <si>
    <t>Career Manager Name</t>
  </si>
  <si>
    <t>Date of Joining</t>
  </si>
  <si>
    <t>Organizational Unit</t>
  </si>
  <si>
    <t>Organizational Unit Name</t>
  </si>
  <si>
    <t>IPMS Parent WBS Code</t>
  </si>
  <si>
    <t>IPMS Parent WBS Name</t>
  </si>
  <si>
    <t>IPMS WBS Code</t>
  </si>
  <si>
    <t>IPMS WBS Name</t>
  </si>
  <si>
    <t>Status</t>
  </si>
  <si>
    <t>WBS Type</t>
  </si>
  <si>
    <t>IPMS Allocation From Date</t>
  </si>
  <si>
    <t>IPMS Allocation To Date</t>
  </si>
  <si>
    <t>Forced allocation</t>
  </si>
  <si>
    <t>Cost Centre</t>
  </si>
  <si>
    <t>Cost Centre Name</t>
  </si>
  <si>
    <t>Project Practice Code</t>
  </si>
  <si>
    <t xml:space="preserve"> Project Practice</t>
  </si>
  <si>
    <t>Project Group Practice</t>
  </si>
  <si>
    <t>IBU</t>
  </si>
  <si>
    <t>Sub IBU</t>
  </si>
  <si>
    <t>EMP_HORIZONTAL</t>
  </si>
  <si>
    <t>PROJECT_HORIZONTAL</t>
  </si>
  <si>
    <t>COST GROUP</t>
  </si>
  <si>
    <t>COST GROUP DESC</t>
  </si>
  <si>
    <t>BU(Cost GROUP)</t>
  </si>
  <si>
    <t>Customer Code</t>
  </si>
  <si>
    <t>Customer Name</t>
  </si>
  <si>
    <t>Account (Customer GROUP)</t>
  </si>
  <si>
    <t>Prev. Employee Code</t>
  </si>
  <si>
    <t>Prev. DOJ</t>
  </si>
  <si>
    <t>Contract End Date</t>
  </si>
  <si>
    <t>Skill Area</t>
  </si>
  <si>
    <t>Skill Cluster</t>
  </si>
  <si>
    <t>Sub cluster</t>
  </si>
  <si>
    <t>Provisional IBU</t>
  </si>
  <si>
    <t>Provisional Sub BU</t>
  </si>
  <si>
    <t>Billed/Unbilled</t>
  </si>
  <si>
    <t>IT / BPS HC</t>
  </si>
  <si>
    <t>Geo</t>
  </si>
  <si>
    <t>Location</t>
  </si>
  <si>
    <t>Primary Skills</t>
  </si>
  <si>
    <t>Secondary Skill</t>
  </si>
  <si>
    <t>Technology</t>
  </si>
  <si>
    <t>Sr.No</t>
  </si>
  <si>
    <t>BU</t>
  </si>
  <si>
    <t>VERTICAL</t>
  </si>
  <si>
    <t>AccountName</t>
  </si>
  <si>
    <t>AccountOwner</t>
  </si>
  <si>
    <t>ACCOUNTID</t>
  </si>
  <si>
    <t>SLX_OPPORTUNITYID</t>
  </si>
  <si>
    <t>SFDC_OPPORTUNITYID</t>
  </si>
  <si>
    <t>OpportunityOwner</t>
  </si>
  <si>
    <t>OpportunityOwnerRole</t>
  </si>
  <si>
    <t>OPPORTUNITYNAME</t>
  </si>
  <si>
    <t>TYPE</t>
  </si>
  <si>
    <t>OpportunityStatus</t>
  </si>
  <si>
    <t>ApprovalStatus</t>
  </si>
  <si>
    <t>DeliveryHead</t>
  </si>
  <si>
    <t>FSO</t>
  </si>
  <si>
    <t>LSO</t>
  </si>
  <si>
    <t>SalesHead</t>
  </si>
  <si>
    <t>STAGE</t>
  </si>
  <si>
    <t>DaysInStage</t>
  </si>
  <si>
    <t>Probability(%)</t>
  </si>
  <si>
    <t>OpportunityValueCurrency</t>
  </si>
  <si>
    <t>OpportunityValue</t>
  </si>
  <si>
    <t>OpportunityValue(USD)</t>
  </si>
  <si>
    <t>TCV($)</t>
  </si>
  <si>
    <t>ACV($)</t>
  </si>
  <si>
    <t>ActiveProduct</t>
  </si>
  <si>
    <t>Product</t>
  </si>
  <si>
    <t>ProductFamily(Practice)</t>
  </si>
  <si>
    <t>ProductGroup</t>
  </si>
  <si>
    <t>TotalPrice</t>
  </si>
  <si>
    <t>TotalPrice(USD)</t>
  </si>
  <si>
    <t>HBU_TCV($)</t>
  </si>
  <si>
    <t>HBU_ACV($)</t>
  </si>
  <si>
    <t>PreSalesSupportName</t>
  </si>
  <si>
    <t>PreSalesSupportEmail</t>
  </si>
  <si>
    <t>PMOName</t>
  </si>
  <si>
    <t>PMOEmail</t>
  </si>
  <si>
    <t>ProjectStartDate</t>
  </si>
  <si>
    <t>ProjectEndDate</t>
  </si>
  <si>
    <t>Createddate</t>
  </si>
  <si>
    <t>EstCloseDate</t>
  </si>
  <si>
    <t>Qtr_New</t>
  </si>
  <si>
    <t>HBU_TCV($MM)</t>
  </si>
  <si>
    <t>HBU_ACV($MM)</t>
  </si>
  <si>
    <t>SubBu</t>
  </si>
  <si>
    <t>BIDTYPE</t>
  </si>
  <si>
    <t>RevenueFromDate</t>
  </si>
  <si>
    <t>DEALTERMS</t>
  </si>
  <si>
    <t>GROSSMARGINOVERALL</t>
  </si>
  <si>
    <t>PROPOSAL_CONTAINS_AI</t>
  </si>
  <si>
    <t>AI_TECH_STACK</t>
  </si>
  <si>
    <t>ARE_COFORGE_AI_ASSETS_INCLUDED</t>
  </si>
  <si>
    <t>COFORGE_AI_ASSETS</t>
  </si>
  <si>
    <t>ARCHITECTURE_GROUP</t>
  </si>
  <si>
    <t>EN_NN_HBU_TCV($)</t>
  </si>
  <si>
    <t>EXISTING_NEW_NN($)</t>
  </si>
  <si>
    <t>RENEWAL_EE($)</t>
  </si>
  <si>
    <t>Account_Group</t>
  </si>
  <si>
    <t>RequestID</t>
  </si>
  <si>
    <t>Customer Group</t>
  </si>
  <si>
    <t>Focus Account</t>
  </si>
  <si>
    <t>Offshore / Onsite</t>
  </si>
  <si>
    <t>Requested Role Band</t>
  </si>
  <si>
    <t>Ageing (RDG  Recvd DATE)</t>
  </si>
  <si>
    <t>Ageing (TA Recvd DATE)</t>
  </si>
  <si>
    <t>Ageing Range</t>
  </si>
  <si>
    <t>Job Description</t>
  </si>
  <si>
    <t>RR Status</t>
  </si>
  <si>
    <t>Pending With</t>
  </si>
  <si>
    <t>Sub Status</t>
  </si>
  <si>
    <t>Status Category</t>
  </si>
  <si>
    <t>Actual Status</t>
  </si>
  <si>
    <t>Offered / Joined Candidate Name</t>
  </si>
  <si>
    <t>RDG/TA remarks</t>
  </si>
  <si>
    <t>Fulfillment Month</t>
  </si>
  <si>
    <t xml:space="preserve">Demand category </t>
  </si>
  <si>
    <t>Parent RR</t>
  </si>
  <si>
    <t>RDG Last Received Date</t>
  </si>
  <si>
    <t>TA Last Received Date</t>
  </si>
  <si>
    <t>Required By Date</t>
  </si>
  <si>
    <t>FFTP</t>
  </si>
  <si>
    <t>FFTP Range</t>
  </si>
  <si>
    <t>Requested Positions</t>
  </si>
  <si>
    <t>Open Position</t>
  </si>
  <si>
    <t>WIP</t>
  </si>
  <si>
    <t>Offered</t>
  </si>
  <si>
    <t>Pending Offer</t>
  </si>
  <si>
    <t>EIP</t>
  </si>
  <si>
    <t>Resource Finalized</t>
  </si>
  <si>
    <t>Actual Open Positions</t>
  </si>
  <si>
    <t>CV Positioned Market</t>
  </si>
  <si>
    <t>CV Positioned Internal</t>
  </si>
  <si>
    <t>Total CV Positioned</t>
  </si>
  <si>
    <t>Selected Market</t>
  </si>
  <si>
    <t>CV Rejected Market</t>
  </si>
  <si>
    <t>CV's Evaluation Pending Market</t>
  </si>
  <si>
    <t>Selected Internal</t>
  </si>
  <si>
    <t>CV's Rejected Internal</t>
  </si>
  <si>
    <t>CV's Evaluation Pending Internal</t>
  </si>
  <si>
    <t>Joined Market</t>
  </si>
  <si>
    <t>Joined Internal</t>
  </si>
  <si>
    <t>Skill Category</t>
  </si>
  <si>
    <t>Employee Practice</t>
  </si>
  <si>
    <t>Area of Work</t>
  </si>
  <si>
    <t>Technology Group</t>
  </si>
  <si>
    <t>Secondary Skills</t>
  </si>
  <si>
    <t>Geography Desc</t>
  </si>
  <si>
    <t>Office</t>
  </si>
  <si>
    <t>Customer Name / Other Customer</t>
  </si>
  <si>
    <t>Project Code</t>
  </si>
  <si>
    <t>Project Description</t>
  </si>
  <si>
    <t>CC Code</t>
  </si>
  <si>
    <t>Opportunity ID</t>
  </si>
  <si>
    <t>Opportunity Stage</t>
  </si>
  <si>
    <t>Resource Category</t>
  </si>
  <si>
    <t>Position</t>
  </si>
  <si>
    <t>Replacement Name</t>
  </si>
  <si>
    <t>Replacement Emp Code</t>
  </si>
  <si>
    <t>Project Type</t>
  </si>
  <si>
    <t>Bill Start Date</t>
  </si>
  <si>
    <t>Bill Rate</t>
  </si>
  <si>
    <t>Currency</t>
  </si>
  <si>
    <t>Created On</t>
  </si>
  <si>
    <t>Created By Emp Code</t>
  </si>
  <si>
    <t>Created By Emp Name</t>
  </si>
  <si>
    <t>RDG / TA First Receive Date</t>
  </si>
  <si>
    <t>Date Updated</t>
  </si>
  <si>
    <t>Project Practice</t>
  </si>
  <si>
    <t>Clarification Remarks</t>
  </si>
  <si>
    <t>Sourcer</t>
  </si>
  <si>
    <t>Customer Interview</t>
  </si>
  <si>
    <t>Resource Known</t>
  </si>
  <si>
    <t>Allocation End Date</t>
  </si>
  <si>
    <t>Project Company Description</t>
  </si>
  <si>
    <t>OU Description</t>
  </si>
  <si>
    <t>PA Description</t>
  </si>
  <si>
    <t>PSA Description</t>
  </si>
  <si>
    <t>Emp Referral Factor</t>
  </si>
  <si>
    <t>Cost Grp</t>
  </si>
  <si>
    <t>Position Type</t>
  </si>
  <si>
    <t>Applicant Details</t>
  </si>
  <si>
    <t>Planned Fulfillment Date</t>
  </si>
  <si>
    <t>Recruiter</t>
  </si>
  <si>
    <t>TA Manager</t>
  </si>
  <si>
    <t>Applicant Range Plan</t>
  </si>
  <si>
    <t>Drop_Close_Date</t>
  </si>
  <si>
    <t>Drop Reasons</t>
  </si>
  <si>
    <t>Employee Code</t>
  </si>
  <si>
    <t>Company Type</t>
  </si>
  <si>
    <t>Pool Type</t>
  </si>
  <si>
    <t>No. of Days in RP</t>
  </si>
  <si>
    <t>Ageing (Days)</t>
  </si>
  <si>
    <t>Skill</t>
  </si>
  <si>
    <t>Positioned/Finalised for</t>
  </si>
  <si>
    <t>Positioned date</t>
  </si>
  <si>
    <t>Remarks Against Status</t>
  </si>
  <si>
    <t>Pool Start Date</t>
  </si>
  <si>
    <t>Project released from</t>
  </si>
  <si>
    <t>E-mail id</t>
  </si>
  <si>
    <t>DOJ</t>
  </si>
  <si>
    <t>Emp Practise</t>
  </si>
  <si>
    <t>Request ID</t>
  </si>
  <si>
    <t>NAME</t>
  </si>
  <si>
    <t>Employee Band</t>
  </si>
  <si>
    <t>Month</t>
  </si>
  <si>
    <t>Joining Date</t>
  </si>
  <si>
    <t>Quarter</t>
  </si>
  <si>
    <t>Offer Date</t>
  </si>
  <si>
    <t>Closed By</t>
  </si>
  <si>
    <t>RDG / TA Last Received On</t>
  </si>
  <si>
    <t>Required BY Date</t>
  </si>
  <si>
    <t>Fulfilment Days</t>
  </si>
  <si>
    <t>VDU</t>
  </si>
  <si>
    <t>VBU</t>
  </si>
  <si>
    <t>Created BY Emp Code</t>
  </si>
  <si>
    <t>Created BY Name</t>
  </si>
  <si>
    <t>Skills</t>
  </si>
  <si>
    <t>Skill Group</t>
  </si>
  <si>
    <t>Employee Referral Factor</t>
  </si>
  <si>
    <t>Total Accrued Revenue</t>
  </si>
  <si>
    <t>Total Direct Expenses</t>
  </si>
  <si>
    <t>Gross Margin %</t>
  </si>
  <si>
    <t>Europe</t>
  </si>
  <si>
    <t>NHS 24</t>
  </si>
  <si>
    <t>SANDEEP KUMAR TIBREWAL</t>
  </si>
  <si>
    <t>sandeep.tibrewal@coforge.com</t>
  </si>
  <si>
    <t>Regular Staff Member</t>
  </si>
  <si>
    <t>AD</t>
  </si>
  <si>
    <t>Male</t>
  </si>
  <si>
    <t>Offshore</t>
  </si>
  <si>
    <t>NSU4</t>
  </si>
  <si>
    <t>Coforge Ltd -SEZ Unit 4</t>
  </si>
  <si>
    <t>INDIA</t>
  </si>
  <si>
    <t>F026</t>
  </si>
  <si>
    <t>Coforge, Gr.Noida SEZ 4</t>
  </si>
  <si>
    <t>Gr.Noida SEZ 4</t>
  </si>
  <si>
    <t>C0810</t>
  </si>
  <si>
    <t>LEAD PRACTICING ARCHITECT</t>
  </si>
  <si>
    <t>SENIOR LEAD SOLUTIONS ARCHITECT</t>
  </si>
  <si>
    <t>6.2</t>
  </si>
  <si>
    <t>6</t>
  </si>
  <si>
    <t>D</t>
  </si>
  <si>
    <t>DATA &amp; ANALYTICS (D&amp;A)</t>
  </si>
  <si>
    <t>DATA &amp; AI</t>
  </si>
  <si>
    <t>00048085</t>
  </si>
  <si>
    <t>ASHUTOSH AGGARWAL</t>
  </si>
  <si>
    <t>00130741</t>
  </si>
  <si>
    <t>ANNUP C SRIVASTAV</t>
  </si>
  <si>
    <t>08-02-1995</t>
  </si>
  <si>
    <t>ROUS-Ins</t>
  </si>
  <si>
    <t>10397</t>
  </si>
  <si>
    <t>Mosaic Asta Project</t>
  </si>
  <si>
    <t>10397-D&amp;A-SZ4-FC</t>
  </si>
  <si>
    <t>Mosaic Asta Project-D&amp;A SZ4 FC</t>
  </si>
  <si>
    <t>Allocated</t>
  </si>
  <si>
    <t>FC</t>
  </si>
  <si>
    <t>0082999277</t>
  </si>
  <si>
    <t>L&amp;A NSU4</t>
  </si>
  <si>
    <t>0025</t>
  </si>
  <si>
    <t>INSURANCE NA</t>
  </si>
  <si>
    <t>L&amp;A INSURANCE</t>
  </si>
  <si>
    <t>N001LA_INSU</t>
  </si>
  <si>
    <t>Life and Annuity</t>
  </si>
  <si>
    <t>0000125748</t>
  </si>
  <si>
    <t>Mosaic Insurance Holdings Limited</t>
  </si>
  <si>
    <t>DATA ENGINEERING</t>
  </si>
  <si>
    <t>Datawarehousing/ Data Lake-DATA &amp; AI-DATA ENGINEERING</t>
  </si>
  <si>
    <t>Insurance</t>
  </si>
  <si>
    <t>L&amp;A</t>
  </si>
  <si>
    <t>Billed</t>
  </si>
  <si>
    <t>IT</t>
  </si>
  <si>
    <t>Noida</t>
  </si>
  <si>
    <t>Multiple Tech</t>
  </si>
  <si>
    <t>ANZ</t>
  </si>
  <si>
    <t>ANZ BFS</t>
  </si>
  <si>
    <t>Acenda</t>
  </si>
  <si>
    <t>Suman Mukherji</t>
  </si>
  <si>
    <t>001IS00000BE6kHYAT</t>
  </si>
  <si>
    <t>006IS000005oAcOYAU</t>
  </si>
  <si>
    <t>Sales Head - ANZ BFS</t>
  </si>
  <si>
    <t>AI - Pricing back book and Month end</t>
  </si>
  <si>
    <t>New (NN)</t>
  </si>
  <si>
    <t>Open</t>
  </si>
  <si>
    <t>n/a</t>
  </si>
  <si>
    <t>1 Prospect</t>
  </si>
  <si>
    <t>USD</t>
  </si>
  <si>
    <t>YES</t>
  </si>
  <si>
    <t>Data &amp; Analytics</t>
  </si>
  <si>
    <t>Data &amp; Analytics (DNA)</t>
  </si>
  <si>
    <t>Data</t>
  </si>
  <si>
    <t>Abhishek Panthri</t>
  </si>
  <si>
    <t>abhishek.panthri@coforge.com</t>
  </si>
  <si>
    <t>Shraddha Kudale</t>
  </si>
  <si>
    <t>shraddha.kudale@coforge.com</t>
  </si>
  <si>
    <t>2027 Q1</t>
  </si>
  <si>
    <t>Fixed Capacity</t>
  </si>
  <si>
    <t>Proactive Proposal</t>
  </si>
  <si>
    <t>HCC GROUP</t>
  </si>
  <si>
    <t>Yes</t>
  </si>
  <si>
    <t>Greater Noida</t>
  </si>
  <si>
    <t>3</t>
  </si>
  <si>
    <t>0</t>
  </si>
  <si>
    <t>18</t>
  </si>
  <si>
    <t>&gt; 15 to 30 Days</t>
  </si>
  <si>
    <t>INSURANCE EU</t>
  </si>
  <si>
    <t xml:space="preserve"> PYTHON</t>
  </si>
  <si>
    <t>MSBI Developer   -      • Proven experience in data warehousing, financial data Test.  • Experience working with cross-functional teams to translate business needs into data-driven solutions.  • Expert Business Requirements Translator! Able to understand sometime vague or ill-defined business requirements and develop these into clear technical requirements for delivery • Data savvy and experienced working with complex data sets   • Strong troubleshooting and problem-solving skills  • Ability to extract data across databases, cloud storages, and separate files filled with unstructured data • An inquisitive nature, a drive to understand why things are the way they are, and curious enough to question unproven beliefs and assumptions. • Strong written and verbal communication skills with the ability to listen, present and communicate solutions clearly and concisely with technical and non-technical audiences. • Strong proficiency in SQL for querying and manipulating financial data. • Excellent Stakeholder Management.  • Familiarity with ETL processes and data integration tools.  • Experience with database management systems and cloud-based data warehousing platforms (e.g. Snowflake). • Solid understanding of financial KPIs and metrics (e.g., P&amp;L, balance sheets, cash flow, budgeting).</t>
  </si>
  <si>
    <t>Pending with TA</t>
  </si>
  <si>
    <t>00074598 : SHIRISH AWASTHI</t>
  </si>
  <si>
    <t>Recruitment Initiated</t>
  </si>
  <si>
    <t>External</t>
  </si>
  <si>
    <t>To be Offered</t>
  </si>
  <si>
    <t>03/11: Sanskriti Cost approval pending. 02/26: 1 re-hire case (Resource to be offered).</t>
  </si>
  <si>
    <t>May'26</t>
  </si>
  <si>
    <t>Confirmed</t>
  </si>
  <si>
    <t>02-Mar-2026</t>
  </si>
  <si>
    <t>05-Mar-2026</t>
  </si>
  <si>
    <t>&lt;= 15 Days</t>
  </si>
  <si>
    <t xml:space="preserve">N0144   </t>
  </si>
  <si>
    <t>SENIOR DEVELOPER</t>
  </si>
  <si>
    <t>SENIOR SOFTWARE ENGINEER</t>
  </si>
  <si>
    <t>Commodity</t>
  </si>
  <si>
    <t xml:space="preserve"> BIG DATA</t>
  </si>
  <si>
    <t xml:space="preserve"> PROGRAMMING/SCRIPTING</t>
  </si>
  <si>
    <t xml:space="preserve"> SQL SERVER</t>
  </si>
  <si>
    <t>TMHCC UK &amp; OTHERS</t>
  </si>
  <si>
    <t>EUROPE</t>
  </si>
  <si>
    <t>India</t>
  </si>
  <si>
    <t>Coforge Office</t>
  </si>
  <si>
    <t>0000122413</t>
  </si>
  <si>
    <t>Tokio Marine HCC - International Gr</t>
  </si>
  <si>
    <t>INCTHCCPORTALNTL-40</t>
  </si>
  <si>
    <t>HCC internsational insurnce D&amp;A SEZ4 TM</t>
  </si>
  <si>
    <t>0082990277</t>
  </si>
  <si>
    <t>006IS000005AOsPYAW</t>
  </si>
  <si>
    <t>5 Deal Closed</t>
  </si>
  <si>
    <t>Direct</t>
  </si>
  <si>
    <t>New</t>
  </si>
  <si>
    <t>T &amp; M</t>
  </si>
  <si>
    <t>GBP</t>
  </si>
  <si>
    <t>04/11/2025</t>
  </si>
  <si>
    <t>08129206</t>
  </si>
  <si>
    <t>Mohammad Jahangir</t>
  </si>
  <si>
    <t>04-Nov-2025</t>
  </si>
  <si>
    <t>0025 : DATA &amp; ANALYTICS (D&amp;A)</t>
  </si>
  <si>
    <t>Y</t>
  </si>
  <si>
    <t>N</t>
  </si>
  <si>
    <t>30-Dec-2026</t>
  </si>
  <si>
    <t>NSU4:Coforge Ltd -SEZ Unit 4</t>
  </si>
  <si>
    <t>60022812 : Tokio Marine</t>
  </si>
  <si>
    <t>F026 : Coforge, Gr.Noida SEZ 4</t>
  </si>
  <si>
    <t>0001 : Gr.Noida SEZ 4</t>
  </si>
  <si>
    <t>TMHCC UK &amp; Others</t>
  </si>
  <si>
    <t>Full Time</t>
  </si>
  <si>
    <t>00118343:Shikha Verma</t>
  </si>
  <si>
    <t>00074598:SHIRISH AWASTHI</t>
  </si>
  <si>
    <t>Q</t>
  </si>
  <si>
    <t>Coforge IT</t>
  </si>
  <si>
    <t>ANIRUDH SINGH</t>
  </si>
  <si>
    <t>Data Pool</t>
  </si>
  <si>
    <t>5.2</t>
  </si>
  <si>
    <t>0-15 Days</t>
  </si>
  <si>
    <t>RP Data</t>
  </si>
  <si>
    <t>Data Architect</t>
  </si>
  <si>
    <t>Informatica , Power Center , IDQ , TDM , MDM, Data warehouse , ADF</t>
  </si>
  <si>
    <t>Available</t>
  </si>
  <si>
    <t>Chhub</t>
  </si>
  <si>
    <t>AITS -MVP Master Client Data DAA SEZ4 FP</t>
  </si>
  <si>
    <t>Anirudh.Singh@coforge.com</t>
  </si>
  <si>
    <t>14-04-2008</t>
  </si>
  <si>
    <t>00135432</t>
  </si>
  <si>
    <t>Harmohan Sahoo</t>
  </si>
  <si>
    <t>Internal</t>
  </si>
  <si>
    <t>Q4'25 TD</t>
  </si>
  <si>
    <t>By RDG(Internally)</t>
  </si>
  <si>
    <t>SEI &amp; LPL</t>
  </si>
  <si>
    <t>BFS NA</t>
  </si>
  <si>
    <t>SEI</t>
  </si>
  <si>
    <t>O6UJ9A0009Z7</t>
  </si>
  <si>
    <t>Fixed Monthly</t>
  </si>
  <si>
    <t>00099863</t>
  </si>
  <si>
    <t>JAHNVI AWASTHI</t>
  </si>
  <si>
    <t>Niche</t>
  </si>
  <si>
    <t>BUSINESS ANALYSIS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</si>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</sst>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\_x000a_\_x000a_@"/>
    <numFmt numFmtId="165" formatCode="\_x000a_\▾\ @\ \ "/>
    <numFmt numFmtId="166" formatCode="\▾\ @\ \ "/>
    <numFmt numFmtId="167" formatCode="[$-409]dd/mmm/yy;@"/>
    <numFmt numFmtId="168" formatCode="\◂\ @\ \ "/>
    <numFmt numFmtId="169" formatCode="\▸\ @\ \ "/>
    <numFmt numFmtId="170" formatCode="\ @"/>
    <numFmt numFmtId="171" formatCode="#,##0.00;\-#,##0.00;#,##0.00"/>
    <numFmt numFmtId="172" formatCode="#,##0.00;\-#,##0.00;\–"/>
    <numFmt numFmtId="173" formatCode="#,##0.00&quot; &quot;%;\-#,##0.00&quot; &quot;%;\–"/>
    <numFmt numFmtId="174" formatCode="#,##0.00&quot; &quot;%;\-#,##0.00&quot; &quot;%;#,##0.00&quot; &quot;%"/>
    <numFmt numFmtId="175" formatCode="#,##0.00;\-#,##0.00;&quot;DIV0&quot;"/>
    <numFmt numFmtId="176" formatCode="[$-10409]#0"/>
    <numFmt numFmtId="177" formatCode="[$-10409]m/d/yyyy"/>
  </numFmts>
  <fonts count="22" x14ac:knownFonts="1">
    <font>
      <sz val="11"/>
      <color theme="1"/>
      <name val="Calibri"/>
      <family val="2"/>
      <scheme val="minor"/>
    </font>
    <font>
      <sz val="11"/>
      <color rgb="FF58595B"/>
      <name val="Calibri"/>
      <family val="2"/>
    </font>
    <font>
      <b/>
      <sz val="11"/>
      <color rgb="FF333333"/>
      <name val="Calibri"/>
      <family val="2"/>
    </font>
    <font>
      <sz val="11"/>
      <color rgb="FF333333"/>
      <name val="Calibri"/>
      <family val="2"/>
    </font>
    <font>
      <i/>
      <sz val="11"/>
      <color rgb="FF999999"/>
      <name val="Calibri"/>
      <family val="2"/>
    </font>
    <font>
      <sz val="11"/>
      <color rgb="FFFFFFFF"/>
      <name val="Calibri"/>
      <family val="2"/>
    </font>
    <font>
      <sz val="11"/>
      <color rgb="FFFFFFFF"/>
      <name val="Segoe U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FFFFFF"/>
      <name val="Segoe U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sz val="11"/>
      <color rgb="FF999999"/>
      <name val="Calibri"/>
      <family val="2"/>
    </font>
    <font>
      <sz val="8"/>
      <color rgb="FF000000"/>
      <name val="Tahoma"/>
      <family val="2"/>
    </font>
    <font>
      <sz val="8"/>
      <color rgb="FF000000"/>
      <name val="Segoe UI"/>
      <family val="2"/>
    </font>
    <font>
      <sz val="8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7E7E7"/>
      </patternFill>
    </fill>
    <fill>
      <patternFill patternType="solid">
        <fgColor rgb="FF6495ED"/>
        <bgColor rgb="FF6495ED"/>
      </patternFill>
    </fill>
    <fill>
      <patternFill patternType="solid">
        <fgColor rgb="FFFFFF00"/>
        <bgColor rgb="FF6495ED"/>
      </patternFill>
    </fill>
    <fill>
      <patternFill patternType="solid">
        <fgColor rgb="FFFFFFFF"/>
        <bgColor indexed="64"/>
      </patternFill>
    </fill>
    <fill>
      <patternFill patternType="solid">
        <fgColor theme="4" tint="-0.499984740745262"/>
        <bgColor rgb="FF6495ED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rgb="FFA8A8A8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A8A8A8"/>
      </right>
      <top/>
      <bottom style="thin">
        <color rgb="FFD3D3D3"/>
      </bottom>
      <diagonal/>
    </border>
    <border>
      <left style="thin">
        <color rgb="FFA8A8A8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A8A8A8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9">
    <xf numFmtId="0" fontId="0" fillId="0" borderId="0"/>
    <xf numFmtId="0" fontId="1" fillId="2" borderId="0" applyNumberFormat="0" applyBorder="0" applyProtection="0"/>
    <xf numFmtId="0" fontId="2" fillId="2" borderId="0" applyNumberFormat="0" applyBorder="0" applyProtection="0">
      <alignment horizontal="right"/>
    </xf>
    <xf numFmtId="0" fontId="3" fillId="3" borderId="0" applyNumberFormat="0" applyBorder="0" applyProtection="0">
      <alignment horizontal="left"/>
    </xf>
    <xf numFmtId="0" fontId="2" fillId="2" borderId="0" applyNumberFormat="0" applyBorder="0" applyProtection="0">
      <alignment horizontal="left"/>
    </xf>
    <xf numFmtId="0" fontId="4" fillId="2" borderId="0" applyNumberFormat="0" applyBorder="0" applyProtection="0">
      <alignment horizontal="left"/>
    </xf>
    <xf numFmtId="0" fontId="10" fillId="0" borderId="0"/>
    <xf numFmtId="0" fontId="3" fillId="2" borderId="0" applyNumberFormat="0" applyBorder="0" applyProtection="0">
      <alignment horizontal="right"/>
    </xf>
    <xf numFmtId="0" fontId="18" fillId="2" borderId="0" applyNumberFormat="0" applyBorder="0" applyProtection="0">
      <alignment horizontal="right"/>
    </xf>
  </cellStyleXfs>
  <cellXfs count="75">
    <xf numFmtId="0" fontId="0" fillId="0" borderId="0" xfId="0"/>
    <xf numFmtId="49" fontId="1" fillId="2" borderId="1" xfId="1" applyNumberFormat="1" applyBorder="1"/>
    <xf numFmtId="49" fontId="2" fillId="2" borderId="2" xfId="2" applyNumberFormat="1" applyBorder="1">
      <alignment horizontal="right"/>
    </xf>
    <xf numFmtId="49" fontId="3" fillId="3" borderId="2" xfId="3" applyNumberFormat="1" applyBorder="1">
      <alignment horizontal="left"/>
    </xf>
    <xf numFmtId="49" fontId="3" fillId="3" borderId="3" xfId="3" applyNumberFormat="1" applyBorder="1">
      <alignment horizontal="left"/>
    </xf>
    <xf numFmtId="49" fontId="1" fillId="2" borderId="4" xfId="1" applyNumberFormat="1" applyBorder="1"/>
    <xf numFmtId="49" fontId="1" fillId="2" borderId="5" xfId="1" applyNumberFormat="1" applyBorder="1"/>
    <xf numFmtId="49" fontId="2" fillId="2" borderId="5" xfId="2" applyNumberFormat="1" applyBorder="1">
      <alignment horizontal="right"/>
    </xf>
    <xf numFmtId="49" fontId="3" fillId="3" borderId="5" xfId="3" applyNumberFormat="1" applyBorder="1">
      <alignment horizontal="left"/>
    </xf>
    <xf numFmtId="49" fontId="3" fillId="3" borderId="6" xfId="3" applyNumberFormat="1" applyBorder="1">
      <alignment horizontal="left"/>
    </xf>
    <xf numFmtId="164" fontId="3" fillId="3" borderId="5" xfId="3" applyNumberFormat="1" applyBorder="1" applyAlignment="1">
      <alignment horizontal="left" vertical="top" wrapText="1"/>
    </xf>
    <xf numFmtId="165" fontId="3" fillId="3" borderId="5" xfId="3" applyNumberFormat="1" applyBorder="1" applyAlignment="1">
      <alignment horizontal="left" vertical="top" wrapText="1"/>
    </xf>
    <xf numFmtId="166" fontId="3" fillId="3" borderId="6" xfId="3" applyNumberFormat="1" applyBorder="1" applyAlignment="1">
      <alignment horizontal="left" vertical="top" wrapText="1"/>
    </xf>
    <xf numFmtId="49" fontId="2" fillId="2" borderId="4" xfId="4" applyNumberFormat="1" applyBorder="1">
      <alignment horizontal="left"/>
    </xf>
    <xf numFmtId="49" fontId="2" fillId="2" borderId="5" xfId="4" applyNumberFormat="1" applyBorder="1">
      <alignment horizontal="left"/>
    </xf>
    <xf numFmtId="49" fontId="1" fillId="2" borderId="6" xfId="1" applyNumberFormat="1" applyBorder="1"/>
    <xf numFmtId="0" fontId="5" fillId="4" borderId="5" xfId="0" applyFont="1" applyFill="1" applyBorder="1" applyAlignment="1">
      <alignment horizontal="center" vertical="top" wrapText="1" readingOrder="1"/>
    </xf>
    <xf numFmtId="0" fontId="6" fillId="4" borderId="5" xfId="0" applyFont="1" applyFill="1" applyBorder="1" applyAlignment="1">
      <alignment horizontal="center" vertical="top" wrapText="1" readingOrder="1"/>
    </xf>
    <xf numFmtId="0" fontId="7" fillId="4" borderId="5" xfId="0" applyFont="1" applyFill="1" applyBorder="1" applyAlignment="1">
      <alignment horizontal="center" vertical="top" wrapText="1" readingOrder="1"/>
    </xf>
    <xf numFmtId="0" fontId="8" fillId="5" borderId="5" xfId="0" applyFont="1" applyFill="1" applyBorder="1" applyAlignment="1">
      <alignment horizontal="center" vertical="top" wrapText="1" readingOrder="1"/>
    </xf>
    <xf numFmtId="0" fontId="9" fillId="5" borderId="5" xfId="0" applyFont="1" applyFill="1" applyBorder="1" applyAlignment="1">
      <alignment horizontal="center" vertical="top" wrapText="1" readingOrder="1"/>
    </xf>
    <xf numFmtId="0" fontId="10" fillId="0" borderId="0" xfId="0" applyFont="1"/>
    <xf numFmtId="0" fontId="11" fillId="6" borderId="7" xfId="0" applyFont="1" applyFill="1" applyBorder="1" applyAlignment="1">
      <alignment horizontal="center" vertical="center" wrapText="1"/>
    </xf>
    <xf numFmtId="0" fontId="12" fillId="6" borderId="0" xfId="0" applyFont="1" applyFill="1"/>
    <xf numFmtId="0" fontId="13" fillId="7" borderId="8" xfId="6" applyFont="1" applyFill="1" applyBorder="1" applyAlignment="1">
      <alignment horizontal="left" vertical="top" readingOrder="1"/>
    </xf>
    <xf numFmtId="0" fontId="14" fillId="5" borderId="8" xfId="6" applyFont="1" applyFill="1" applyBorder="1" applyAlignment="1">
      <alignment horizontal="left" vertical="top" readingOrder="1"/>
    </xf>
    <xf numFmtId="0" fontId="15" fillId="7" borderId="8" xfId="6" applyFont="1" applyFill="1" applyBorder="1" applyAlignment="1">
      <alignment horizontal="left" vertical="top" readingOrder="1"/>
    </xf>
    <xf numFmtId="0" fontId="13" fillId="7" borderId="9" xfId="6" applyFont="1" applyFill="1" applyBorder="1" applyAlignment="1">
      <alignment horizontal="left" vertical="top" readingOrder="1"/>
    </xf>
    <xf numFmtId="0" fontId="16" fillId="8" borderId="8" xfId="0" applyFont="1" applyFill="1" applyBorder="1" applyAlignment="1">
      <alignment horizontal="left"/>
    </xf>
    <xf numFmtId="0" fontId="16" fillId="8" borderId="8" xfId="0" applyFont="1" applyFill="1" applyBorder="1" applyAlignment="1">
      <alignment horizontal="left" vertical="center"/>
    </xf>
    <xf numFmtId="167" fontId="17" fillId="8" borderId="8" xfId="6" applyNumberFormat="1" applyFont="1" applyFill="1" applyBorder="1" applyAlignment="1">
      <alignment horizontal="left"/>
    </xf>
    <xf numFmtId="15" fontId="17" fillId="8" borderId="8" xfId="6" applyNumberFormat="1" applyFont="1" applyFill="1" applyBorder="1" applyAlignment="1">
      <alignment horizontal="left"/>
    </xf>
    <xf numFmtId="0" fontId="16" fillId="8" borderId="9" xfId="0" applyFont="1" applyFill="1" applyBorder="1" applyAlignment="1">
      <alignment horizontal="left"/>
    </xf>
    <xf numFmtId="0" fontId="16" fillId="9" borderId="10" xfId="6" applyFont="1" applyFill="1" applyBorder="1"/>
    <xf numFmtId="0" fontId="16" fillId="9" borderId="11" xfId="6" applyFont="1" applyFill="1" applyBorder="1"/>
    <xf numFmtId="15" fontId="16" fillId="9" borderId="11" xfId="6" applyNumberFormat="1" applyFont="1" applyFill="1" applyBorder="1"/>
    <xf numFmtId="0" fontId="16" fillId="9" borderId="12" xfId="6" applyFont="1" applyFill="1" applyBorder="1"/>
    <xf numFmtId="0" fontId="10" fillId="0" borderId="0" xfId="6"/>
    <xf numFmtId="168" fontId="3" fillId="3" borderId="5" xfId="3" applyNumberFormat="1" applyBorder="1" applyAlignment="1">
      <alignment horizontal="left" vertical="top" wrapText="1"/>
    </xf>
    <xf numFmtId="166" fontId="3" fillId="3" borderId="5" xfId="3" applyNumberFormat="1" applyBorder="1" applyAlignment="1">
      <alignment horizontal="left" vertical="top" wrapText="1"/>
    </xf>
    <xf numFmtId="49" fontId="3" fillId="3" borderId="5" xfId="3" applyNumberFormat="1" applyBorder="1" applyAlignment="1">
      <alignment horizontal="left" vertical="top" wrapText="1"/>
    </xf>
    <xf numFmtId="49" fontId="3" fillId="3" borderId="6" xfId="3" applyNumberFormat="1" applyBorder="1" applyAlignment="1">
      <alignment horizontal="left" vertical="top" wrapText="1"/>
    </xf>
    <xf numFmtId="169" fontId="3" fillId="3" borderId="4" xfId="3" applyNumberFormat="1" applyBorder="1">
      <alignment horizontal="left"/>
    </xf>
    <xf numFmtId="170" fontId="3" fillId="3" borderId="5" xfId="3" applyNumberFormat="1" applyBorder="1">
      <alignment horizontal="left"/>
    </xf>
    <xf numFmtId="171" fontId="3" fillId="2" borderId="5" xfId="7" applyNumberFormat="1" applyBorder="1" applyAlignment="1">
      <alignment horizontal="right"/>
    </xf>
    <xf numFmtId="172" fontId="3" fillId="2" borderId="5" xfId="7" applyNumberFormat="1" applyBorder="1" applyAlignment="1">
      <alignment horizontal="right"/>
    </xf>
    <xf numFmtId="173" fontId="18" fillId="2" borderId="5" xfId="8" applyNumberFormat="1" applyBorder="1" applyAlignment="1">
      <alignment horizontal="right"/>
    </xf>
    <xf numFmtId="174" fontId="18" fillId="2" borderId="5" xfId="8" applyNumberFormat="1" applyBorder="1" applyAlignment="1">
      <alignment horizontal="right"/>
    </xf>
    <xf numFmtId="175" fontId="18" fillId="2" borderId="5" xfId="8" applyNumberFormat="1" applyBorder="1" applyAlignment="1">
      <alignment horizontal="right"/>
    </xf>
    <xf numFmtId="174" fontId="18" fillId="2" borderId="6" xfId="8" applyNumberFormat="1" applyBorder="1" applyAlignment="1">
      <alignment horizontal="right"/>
    </xf>
    <xf numFmtId="0" fontId="19" fillId="10" borderId="5" xfId="0" applyFont="1" applyFill="1" applyBorder="1" applyAlignment="1">
      <alignment vertical="top" wrapText="1" readingOrder="1"/>
    </xf>
    <xf numFmtId="0" fontId="20" fillId="10" borderId="5" xfId="0" applyFont="1" applyFill="1" applyBorder="1" applyAlignment="1">
      <alignment vertical="top" wrapText="1" readingOrder="1"/>
    </xf>
    <xf numFmtId="0" fontId="12" fillId="6" borderId="7" xfId="0" applyFont="1" applyFill="1" applyBorder="1" applyAlignment="1"/>
    <xf numFmtId="4" fontId="12" fillId="6" borderId="7" xfId="0" applyNumberFormat="1" applyFont="1" applyFill="1" applyBorder="1" applyAlignment="1"/>
    <xf numFmtId="14" fontId="12" fillId="6" borderId="7" xfId="0" applyNumberFormat="1" applyFont="1" applyFill="1" applyBorder="1" applyAlignment="1"/>
    <xf numFmtId="22" fontId="12" fillId="6" borderId="7" xfId="0" applyNumberFormat="1" applyFont="1" applyFill="1" applyBorder="1" applyAlignment="1"/>
    <xf numFmtId="0" fontId="12" fillId="6" borderId="0" xfId="0" applyFont="1" applyFill="1" applyAlignment="1"/>
    <xf numFmtId="0" fontId="21" fillId="0" borderId="8" xfId="6" applyFont="1" applyBorder="1" applyAlignment="1">
      <alignment horizontal="left" vertical="top" readingOrder="1"/>
    </xf>
    <xf numFmtId="176" fontId="21" fillId="0" borderId="8" xfId="6" applyNumberFormat="1" applyFont="1" applyBorder="1" applyAlignment="1">
      <alignment horizontal="left" vertical="top" readingOrder="1"/>
    </xf>
    <xf numFmtId="0" fontId="21" fillId="11" borderId="8" xfId="6" applyFont="1" applyFill="1" applyBorder="1" applyAlignment="1">
      <alignment horizontal="left" vertical="top" readingOrder="1"/>
    </xf>
    <xf numFmtId="1" fontId="21" fillId="0" borderId="8" xfId="6" applyNumberFormat="1" applyFont="1" applyBorder="1" applyAlignment="1">
      <alignment horizontal="left" vertical="top" readingOrder="1"/>
    </xf>
    <xf numFmtId="177" fontId="21" fillId="0" borderId="8" xfId="6" applyNumberFormat="1" applyFont="1" applyBorder="1" applyAlignment="1">
      <alignment horizontal="left" vertical="top" readingOrder="1"/>
    </xf>
    <xf numFmtId="1" fontId="8" fillId="12" borderId="8" xfId="0" applyNumberFormat="1" applyFont="1" applyFill="1" applyBorder="1" applyAlignment="1">
      <alignment horizontal="left"/>
    </xf>
    <xf numFmtId="1" fontId="8" fillId="12" borderId="8" xfId="0" applyNumberFormat="1" applyFont="1" applyFill="1" applyBorder="1"/>
    <xf numFmtId="0" fontId="8" fillId="12" borderId="8" xfId="0" applyFont="1" applyFill="1" applyBorder="1" applyAlignment="1">
      <alignment horizontal="right" vertical="center"/>
    </xf>
    <xf numFmtId="1" fontId="8" fillId="12" borderId="8" xfId="0" applyNumberFormat="1" applyFont="1" applyFill="1" applyBorder="1" applyAlignment="1">
      <alignment horizontal="right" vertical="center"/>
    </xf>
    <xf numFmtId="167" fontId="8" fillId="11" borderId="8" xfId="0" applyNumberFormat="1" applyFont="1" applyFill="1" applyBorder="1" applyAlignment="1">
      <alignment horizontal="left"/>
    </xf>
    <xf numFmtId="15" fontId="8" fillId="11" borderId="8" xfId="0" applyNumberFormat="1" applyFont="1" applyFill="1" applyBorder="1" applyAlignment="1">
      <alignment horizontal="left"/>
    </xf>
    <xf numFmtId="15" fontId="8" fillId="12" borderId="8" xfId="0" applyNumberFormat="1" applyFont="1" applyFill="1" applyBorder="1" applyAlignment="1">
      <alignment horizontal="left"/>
    </xf>
    <xf numFmtId="15" fontId="8" fillId="12" borderId="8" xfId="0" applyNumberFormat="1" applyFont="1" applyFill="1" applyBorder="1" applyAlignment="1">
      <alignment horizontal="right"/>
    </xf>
    <xf numFmtId="0" fontId="8" fillId="0" borderId="13" xfId="0" applyFont="1" applyBorder="1"/>
    <xf numFmtId="0" fontId="8" fillId="0" borderId="14" xfId="0" applyFont="1" applyBorder="1"/>
    <xf numFmtId="14" fontId="8" fillId="0" borderId="14" xfId="0" applyNumberFormat="1" applyFont="1" applyBorder="1"/>
    <xf numFmtId="15" fontId="8" fillId="0" borderId="14" xfId="0" applyNumberFormat="1" applyFont="1" applyBorder="1"/>
    <xf numFmtId="0" fontId="8" fillId="0" borderId="15" xfId="0" applyFont="1" applyBorder="1"/>
  </cellXfs>
  <cellStyles count="9">
    <cellStyle name="Normal" xfId="0" builtinId="0"/>
    <cellStyle name="Normal 2" xfId="6"/>
    <cellStyle name="SACAttributeRowHeaderCell" xfId="5"/>
    <cellStyle name="SACDataCell" xfId="7"/>
    <cellStyle name="SACDimensionColumnHeaderCell" xfId="2"/>
    <cellStyle name="SACDimensionRowHeaderCell" xfId="4"/>
    <cellStyle name="SACEmptyHeaderCell" xfId="1"/>
    <cellStyle name="SACMemberCell" xfId="3"/>
    <cellStyle name="SACReadonlyDataCell" xfId="8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"/>
  <sheetViews>
    <sheetView workbookViewId="0">
      <selection activeCell="A6" sqref="A6:XEL6"/>
    </sheetView>
  </sheetViews>
  <sheetFormatPr defaultRowHeight="14.5" x14ac:dyDescent="0.35"/>
  <sheetData>
    <row r="1" spans="1:36" x14ac:dyDescent="0.35">
      <c r="B1" s="1" t="s">
        <v>0</v>
      </c>
      <c r="C1" s="2" t="s">
        <v>1</v>
      </c>
      <c r="D1" s="3" t="s">
        <v>2</v>
      </c>
      <c r="E1" s="3" t="s">
        <v>2</v>
      </c>
      <c r="F1" s="3" t="s">
        <v>2</v>
      </c>
      <c r="G1" s="3" t="s">
        <v>2</v>
      </c>
      <c r="H1" s="3" t="s">
        <v>2</v>
      </c>
      <c r="I1" s="3" t="s">
        <v>2</v>
      </c>
      <c r="J1" s="3" t="s">
        <v>2</v>
      </c>
      <c r="K1" s="3" t="s">
        <v>2</v>
      </c>
      <c r="L1" s="3" t="s">
        <v>2</v>
      </c>
      <c r="M1" s="3" t="s">
        <v>2</v>
      </c>
      <c r="N1" s="3" t="s">
        <v>2</v>
      </c>
      <c r="O1" s="3" t="s">
        <v>2</v>
      </c>
      <c r="P1" s="3" t="s">
        <v>2</v>
      </c>
      <c r="Q1" s="3" t="s">
        <v>2</v>
      </c>
      <c r="R1" s="3" t="s">
        <v>2</v>
      </c>
      <c r="S1" s="3" t="s">
        <v>2</v>
      </c>
      <c r="T1" s="3" t="s">
        <v>2</v>
      </c>
      <c r="U1" s="3" t="s">
        <v>2</v>
      </c>
      <c r="V1" s="3" t="s">
        <v>2</v>
      </c>
      <c r="W1" s="3" t="s">
        <v>2</v>
      </c>
      <c r="X1" s="3" t="s">
        <v>2</v>
      </c>
      <c r="Y1" s="3" t="s">
        <v>2</v>
      </c>
      <c r="Z1" s="3" t="s">
        <v>2</v>
      </c>
      <c r="AA1" s="3" t="s">
        <v>2</v>
      </c>
      <c r="AB1" s="3" t="s">
        <v>2</v>
      </c>
      <c r="AC1" s="3" t="s">
        <v>2</v>
      </c>
      <c r="AD1" s="3" t="s">
        <v>2</v>
      </c>
      <c r="AE1" s="3" t="s">
        <v>2</v>
      </c>
      <c r="AF1" s="3" t="s">
        <v>2</v>
      </c>
      <c r="AG1" s="3" t="s">
        <v>2</v>
      </c>
      <c r="AH1" s="3" t="s">
        <v>2</v>
      </c>
      <c r="AI1" s="3" t="s">
        <v>2</v>
      </c>
      <c r="AJ1" s="4" t="s">
        <v>2</v>
      </c>
    </row>
    <row r="2" spans="1:36" x14ac:dyDescent="0.35">
      <c r="B2" s="5" t="s">
        <v>0</v>
      </c>
      <c r="C2" s="7" t="s">
        <v>3</v>
      </c>
      <c r="D2" s="8" t="s">
        <v>4</v>
      </c>
      <c r="E2" s="8" t="s">
        <v>4</v>
      </c>
      <c r="F2" s="8" t="s">
        <v>4</v>
      </c>
      <c r="G2" s="8" t="s">
        <v>4</v>
      </c>
      <c r="H2" s="8" t="s">
        <v>4</v>
      </c>
      <c r="I2" s="8" t="s">
        <v>4</v>
      </c>
      <c r="J2" s="8" t="s">
        <v>4</v>
      </c>
      <c r="K2" s="8" t="s">
        <v>4</v>
      </c>
      <c r="L2" s="8" t="s">
        <v>4</v>
      </c>
      <c r="M2" s="8" t="s">
        <v>4</v>
      </c>
      <c r="N2" s="8" t="s">
        <v>4</v>
      </c>
      <c r="O2" s="8" t="s">
        <v>4</v>
      </c>
      <c r="P2" s="8" t="s">
        <v>4</v>
      </c>
      <c r="Q2" s="8" t="s">
        <v>4</v>
      </c>
      <c r="R2" s="8" t="s">
        <v>4</v>
      </c>
      <c r="S2" s="8" t="s">
        <v>4</v>
      </c>
      <c r="T2" s="8" t="s">
        <v>4</v>
      </c>
      <c r="U2" s="8" t="s">
        <v>4</v>
      </c>
      <c r="V2" s="8" t="s">
        <v>4</v>
      </c>
      <c r="W2" s="8" t="s">
        <v>4</v>
      </c>
      <c r="X2" s="8" t="s">
        <v>4</v>
      </c>
      <c r="Y2" s="8" t="s">
        <v>4</v>
      </c>
      <c r="Z2" s="8" t="s">
        <v>4</v>
      </c>
      <c r="AA2" s="8" t="s">
        <v>4</v>
      </c>
      <c r="AB2" s="8" t="s">
        <v>4</v>
      </c>
      <c r="AC2" s="8" t="s">
        <v>4</v>
      </c>
      <c r="AD2" s="8" t="s">
        <v>4</v>
      </c>
      <c r="AE2" s="8" t="s">
        <v>4</v>
      </c>
      <c r="AF2" s="8" t="s">
        <v>4</v>
      </c>
      <c r="AG2" s="8" t="s">
        <v>4</v>
      </c>
      <c r="AH2" s="8" t="s">
        <v>4</v>
      </c>
      <c r="AI2" s="8" t="s">
        <v>4</v>
      </c>
      <c r="AJ2" s="9" t="s">
        <v>4</v>
      </c>
    </row>
    <row r="3" spans="1:36" ht="43.5" x14ac:dyDescent="0.35">
      <c r="B3" s="5" t="s">
        <v>0</v>
      </c>
      <c r="C3" s="7" t="s">
        <v>25</v>
      </c>
      <c r="D3" s="38" t="s">
        <v>277</v>
      </c>
      <c r="E3" s="38" t="s">
        <v>277</v>
      </c>
      <c r="F3" s="38" t="s">
        <v>277</v>
      </c>
      <c r="G3" s="38" t="s">
        <v>277</v>
      </c>
      <c r="H3" s="38" t="s">
        <v>277</v>
      </c>
      <c r="I3" s="38" t="s">
        <v>277</v>
      </c>
      <c r="J3" s="38" t="s">
        <v>277</v>
      </c>
      <c r="K3" s="38" t="s">
        <v>277</v>
      </c>
      <c r="L3" s="38" t="s">
        <v>278</v>
      </c>
      <c r="M3" s="38" t="s">
        <v>278</v>
      </c>
      <c r="N3" s="38" t="s">
        <v>278</v>
      </c>
      <c r="O3" s="38" t="s">
        <v>278</v>
      </c>
      <c r="P3" s="38" t="s">
        <v>278</v>
      </c>
      <c r="Q3" s="38" t="s">
        <v>278</v>
      </c>
      <c r="R3" s="38" t="s">
        <v>278</v>
      </c>
      <c r="S3" s="38" t="s">
        <v>278</v>
      </c>
      <c r="T3" s="40" t="s">
        <v>279</v>
      </c>
      <c r="U3" s="40" t="s">
        <v>279</v>
      </c>
      <c r="V3" s="40" t="s">
        <v>279</v>
      </c>
      <c r="W3" s="40" t="s">
        <v>279</v>
      </c>
      <c r="X3" s="40" t="s">
        <v>279</v>
      </c>
      <c r="Y3" s="40" t="s">
        <v>279</v>
      </c>
      <c r="Z3" s="40" t="s">
        <v>279</v>
      </c>
      <c r="AA3" s="40" t="s">
        <v>279</v>
      </c>
      <c r="AB3" s="40" t="s">
        <v>279</v>
      </c>
      <c r="AC3" s="40" t="s">
        <v>279</v>
      </c>
      <c r="AD3" s="40" t="s">
        <v>279</v>
      </c>
      <c r="AE3" s="40" t="s">
        <v>279</v>
      </c>
      <c r="AF3" s="40" t="s">
        <v>279</v>
      </c>
      <c r="AG3" s="40" t="s">
        <v>279</v>
      </c>
      <c r="AH3" s="40" t="s">
        <v>279</v>
      </c>
      <c r="AI3" s="40" t="s">
        <v>279</v>
      </c>
      <c r="AJ3" s="41" t="s">
        <v>279</v>
      </c>
    </row>
    <row r="4" spans="1:36" ht="43.5" x14ac:dyDescent="0.35">
      <c r="B4" s="5" t="s">
        <v>0</v>
      </c>
      <c r="C4" s="7" t="s">
        <v>5</v>
      </c>
      <c r="D4" s="11" t="s">
        <v>9</v>
      </c>
      <c r="E4" s="11" t="s">
        <v>13</v>
      </c>
      <c r="F4" s="11" t="s">
        <v>17</v>
      </c>
      <c r="G4" s="10" t="s">
        <v>18</v>
      </c>
      <c r="H4" s="10" t="s">
        <v>19</v>
      </c>
      <c r="I4" s="10" t="s">
        <v>20</v>
      </c>
      <c r="J4" s="11" t="s">
        <v>21</v>
      </c>
      <c r="K4" s="39" t="s">
        <v>22</v>
      </c>
      <c r="L4" s="11" t="s">
        <v>9</v>
      </c>
      <c r="M4" s="11" t="s">
        <v>13</v>
      </c>
      <c r="N4" s="11" t="s">
        <v>17</v>
      </c>
      <c r="O4" s="10" t="s">
        <v>18</v>
      </c>
      <c r="P4" s="10" t="s">
        <v>19</v>
      </c>
      <c r="Q4" s="10" t="s">
        <v>20</v>
      </c>
      <c r="R4" s="11" t="s">
        <v>21</v>
      </c>
      <c r="S4" s="39" t="s">
        <v>22</v>
      </c>
      <c r="T4" s="10" t="s">
        <v>6</v>
      </c>
      <c r="U4" s="10" t="s">
        <v>7</v>
      </c>
      <c r="V4" s="10" t="s">
        <v>8</v>
      </c>
      <c r="W4" s="11" t="s">
        <v>9</v>
      </c>
      <c r="X4" s="10" t="s">
        <v>10</v>
      </c>
      <c r="Y4" s="10" t="s">
        <v>11</v>
      </c>
      <c r="Z4" s="10" t="s">
        <v>12</v>
      </c>
      <c r="AA4" s="11" t="s">
        <v>13</v>
      </c>
      <c r="AB4" s="10" t="s">
        <v>14</v>
      </c>
      <c r="AC4" s="10" t="s">
        <v>15</v>
      </c>
      <c r="AD4" s="10" t="s">
        <v>16</v>
      </c>
      <c r="AE4" s="11" t="s">
        <v>17</v>
      </c>
      <c r="AF4" s="10" t="s">
        <v>18</v>
      </c>
      <c r="AG4" s="10" t="s">
        <v>19</v>
      </c>
      <c r="AH4" s="10" t="s">
        <v>20</v>
      </c>
      <c r="AI4" s="11" t="s">
        <v>21</v>
      </c>
      <c r="AJ4" s="12" t="s">
        <v>22</v>
      </c>
    </row>
    <row r="5" spans="1:36" x14ac:dyDescent="0.35">
      <c r="A5" t="s">
        <v>92</v>
      </c>
      <c r="B5" s="13" t="s">
        <v>23</v>
      </c>
      <c r="C5" s="14" t="s">
        <v>24</v>
      </c>
      <c r="D5" s="6" t="s">
        <v>0</v>
      </c>
      <c r="E5" s="6" t="s">
        <v>0</v>
      </c>
      <c r="F5" s="6" t="s">
        <v>0</v>
      </c>
      <c r="G5" s="6" t="s">
        <v>0</v>
      </c>
      <c r="H5" s="6" t="s">
        <v>0</v>
      </c>
      <c r="I5" s="6" t="s">
        <v>0</v>
      </c>
      <c r="J5" s="6" t="s">
        <v>0</v>
      </c>
      <c r="K5" s="6" t="s">
        <v>0</v>
      </c>
      <c r="L5" s="6" t="s">
        <v>0</v>
      </c>
      <c r="M5" s="6" t="s">
        <v>0</v>
      </c>
      <c r="N5" s="6" t="s">
        <v>0</v>
      </c>
      <c r="O5" s="6" t="s">
        <v>0</v>
      </c>
      <c r="P5" s="6" t="s">
        <v>0</v>
      </c>
      <c r="Q5" s="6" t="s">
        <v>0</v>
      </c>
      <c r="R5" s="6" t="s">
        <v>0</v>
      </c>
      <c r="S5" s="6" t="s">
        <v>0</v>
      </c>
      <c r="T5" s="6" t="s">
        <v>0</v>
      </c>
      <c r="U5" s="6" t="s">
        <v>0</v>
      </c>
      <c r="V5" s="6" t="s">
        <v>0</v>
      </c>
      <c r="W5" s="6" t="s">
        <v>0</v>
      </c>
      <c r="X5" s="6" t="s">
        <v>0</v>
      </c>
      <c r="Y5" s="6" t="s">
        <v>0</v>
      </c>
      <c r="Z5" s="6" t="s">
        <v>0</v>
      </c>
      <c r="AA5" s="6" t="s">
        <v>0</v>
      </c>
      <c r="AB5" s="6" t="s">
        <v>0</v>
      </c>
      <c r="AC5" s="6" t="s">
        <v>0</v>
      </c>
      <c r="AD5" s="6" t="s">
        <v>0</v>
      </c>
      <c r="AE5" s="6" t="s">
        <v>0</v>
      </c>
      <c r="AF5" s="6" t="s">
        <v>0</v>
      </c>
      <c r="AG5" s="6" t="s">
        <v>0</v>
      </c>
      <c r="AH5" s="6" t="s">
        <v>0</v>
      </c>
      <c r="AI5" s="6" t="s">
        <v>0</v>
      </c>
      <c r="AJ5" s="15" t="s">
        <v>0</v>
      </c>
    </row>
    <row r="6" spans="1:36" x14ac:dyDescent="0.35">
      <c r="A6" t="s">
        <v>280</v>
      </c>
      <c r="B6" s="42" t="s">
        <v>280</v>
      </c>
      <c r="C6" s="43" t="s">
        <v>281</v>
      </c>
      <c r="D6" s="44">
        <v>223002.7240354</v>
      </c>
      <c r="E6" s="44">
        <v>527917.85371489997</v>
      </c>
      <c r="F6" s="44">
        <v>184380.63773079999</v>
      </c>
      <c r="G6" s="45">
        <v>0</v>
      </c>
      <c r="H6" s="45">
        <v>0</v>
      </c>
      <c r="I6" s="45">
        <v>0</v>
      </c>
      <c r="J6" s="45">
        <v>0</v>
      </c>
      <c r="K6" s="44">
        <v>935301.21548110002</v>
      </c>
      <c r="L6" s="44">
        <v>193305.59756610001</v>
      </c>
      <c r="M6" s="44">
        <v>344971.70577599999</v>
      </c>
      <c r="N6" s="44">
        <v>255463.23962400001</v>
      </c>
      <c r="O6" s="44">
        <v>57399.047929</v>
      </c>
      <c r="P6" s="44">
        <v>56115.611232399999</v>
      </c>
      <c r="Q6" s="44">
        <v>67.381425500000006</v>
      </c>
      <c r="R6" s="44">
        <v>113582.0405869</v>
      </c>
      <c r="S6" s="44">
        <v>907322.583553</v>
      </c>
      <c r="T6" s="46">
        <v>0</v>
      </c>
      <c r="U6" s="47">
        <v>-62903.138596656099</v>
      </c>
      <c r="V6" s="47">
        <v>0.55130772112057103</v>
      </c>
      <c r="W6" s="47">
        <v>0.133169343996828</v>
      </c>
      <c r="X6" s="47">
        <v>607144.92830456595</v>
      </c>
      <c r="Y6" s="47">
        <v>0.52040258007602003</v>
      </c>
      <c r="Z6" s="47">
        <v>0.65034992651717205</v>
      </c>
      <c r="AA6" s="47">
        <v>0.346542831714305</v>
      </c>
      <c r="AB6" s="46">
        <v>0</v>
      </c>
      <c r="AC6" s="48">
        <v>0</v>
      </c>
      <c r="AD6" s="47">
        <v>0.68171233690501098</v>
      </c>
      <c r="AE6" s="47">
        <v>-0.38552096775466299</v>
      </c>
      <c r="AF6" s="46">
        <v>0</v>
      </c>
      <c r="AG6" s="46">
        <v>0</v>
      </c>
      <c r="AH6" s="46">
        <v>0</v>
      </c>
      <c r="AI6" s="46">
        <v>0</v>
      </c>
      <c r="AJ6" s="49">
        <v>2.9914033538070699E-2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2"/>
  <sheetViews>
    <sheetView topLeftCell="AB1" workbookViewId="0">
      <selection activeCell="A2" sqref="A2:XFD2"/>
    </sheetView>
  </sheetViews>
  <sheetFormatPr defaultRowHeight="14.5" x14ac:dyDescent="0.35"/>
  <sheetData>
    <row r="1" spans="1:71" s="21" customFormat="1" ht="20.149999999999999" customHeight="1" x14ac:dyDescent="0.35">
      <c r="A1" s="16" t="s">
        <v>26</v>
      </c>
      <c r="B1" s="16" t="s">
        <v>27</v>
      </c>
      <c r="C1" s="17" t="s">
        <v>28</v>
      </c>
      <c r="D1" s="16" t="s">
        <v>29</v>
      </c>
      <c r="E1" s="16" t="s">
        <v>30</v>
      </c>
      <c r="F1" s="16" t="s">
        <v>31</v>
      </c>
      <c r="G1" s="18" t="s">
        <v>32</v>
      </c>
      <c r="H1" s="16" t="s">
        <v>33</v>
      </c>
      <c r="I1" s="16" t="s">
        <v>34</v>
      </c>
      <c r="J1" s="16" t="s">
        <v>35</v>
      </c>
      <c r="K1" s="16" t="s">
        <v>36</v>
      </c>
      <c r="L1" s="16" t="s">
        <v>37</v>
      </c>
      <c r="M1" s="16" t="s">
        <v>38</v>
      </c>
      <c r="N1" s="16" t="s">
        <v>39</v>
      </c>
      <c r="O1" s="16" t="s">
        <v>40</v>
      </c>
      <c r="P1" s="16" t="s">
        <v>41</v>
      </c>
      <c r="Q1" s="16" t="s">
        <v>42</v>
      </c>
      <c r="R1" s="16" t="s">
        <v>43</v>
      </c>
      <c r="S1" s="16" t="s">
        <v>44</v>
      </c>
      <c r="T1" s="16" t="s">
        <v>45</v>
      </c>
      <c r="U1" s="16" t="s">
        <v>46</v>
      </c>
      <c r="V1" s="16" t="s">
        <v>47</v>
      </c>
      <c r="W1" s="16" t="s">
        <v>48</v>
      </c>
      <c r="X1" s="16" t="s">
        <v>49</v>
      </c>
      <c r="Y1" s="16" t="s">
        <v>50</v>
      </c>
      <c r="Z1" s="16" t="s">
        <v>51</v>
      </c>
      <c r="AA1" s="16" t="s">
        <v>52</v>
      </c>
      <c r="AB1" s="16" t="s">
        <v>53</v>
      </c>
      <c r="AC1" s="16" t="s">
        <v>54</v>
      </c>
      <c r="AD1" s="16" t="s">
        <v>55</v>
      </c>
      <c r="AE1" s="16" t="s">
        <v>56</v>
      </c>
      <c r="AF1" s="16" t="s">
        <v>57</v>
      </c>
      <c r="AG1" s="16" t="s">
        <v>58</v>
      </c>
      <c r="AH1" s="16" t="s">
        <v>59</v>
      </c>
      <c r="AI1" s="16" t="s">
        <v>60</v>
      </c>
      <c r="AJ1" s="16" t="s">
        <v>61</v>
      </c>
      <c r="AK1" s="19" t="s">
        <v>62</v>
      </c>
      <c r="AL1" s="16" t="s">
        <v>63</v>
      </c>
      <c r="AM1" s="16" t="s">
        <v>64</v>
      </c>
      <c r="AN1" s="16" t="s">
        <v>65</v>
      </c>
      <c r="AO1" s="16" t="s">
        <v>66</v>
      </c>
      <c r="AP1" s="16" t="s">
        <v>67</v>
      </c>
      <c r="AQ1" s="16" t="s">
        <v>68</v>
      </c>
      <c r="AR1" s="16" t="s">
        <v>69</v>
      </c>
      <c r="AS1" s="18" t="s">
        <v>70</v>
      </c>
      <c r="AT1" s="18" t="s">
        <v>71</v>
      </c>
      <c r="AU1" s="16" t="s">
        <v>72</v>
      </c>
      <c r="AV1" s="18" t="s">
        <v>73</v>
      </c>
      <c r="AW1" s="18" t="s">
        <v>74</v>
      </c>
      <c r="AX1" s="18" t="s">
        <v>75</v>
      </c>
      <c r="AY1" s="18" t="s">
        <v>76</v>
      </c>
      <c r="AZ1" s="18" t="s">
        <v>77</v>
      </c>
      <c r="BA1" s="18" t="s">
        <v>78</v>
      </c>
      <c r="BB1" s="18" t="s">
        <v>79</v>
      </c>
      <c r="BC1" s="18" t="s">
        <v>80</v>
      </c>
      <c r="BD1" s="18" t="s">
        <v>81</v>
      </c>
      <c r="BE1" s="18" t="s">
        <v>82</v>
      </c>
      <c r="BF1" s="18" t="s">
        <v>83</v>
      </c>
      <c r="BG1" s="18" t="s">
        <v>84</v>
      </c>
      <c r="BH1" s="18" t="s">
        <v>85</v>
      </c>
      <c r="BI1" s="18" t="s">
        <v>86</v>
      </c>
      <c r="BJ1" s="18" t="s">
        <v>87</v>
      </c>
      <c r="BK1" s="18" t="s">
        <v>88</v>
      </c>
      <c r="BL1" s="18" t="s">
        <v>89</v>
      </c>
      <c r="BM1" s="18" t="s">
        <v>90</v>
      </c>
      <c r="BN1" s="18" t="s">
        <v>91</v>
      </c>
      <c r="BO1" s="18" t="s">
        <v>92</v>
      </c>
      <c r="BP1" s="18" t="s">
        <v>93</v>
      </c>
      <c r="BQ1" s="20" t="s">
        <v>94</v>
      </c>
      <c r="BR1" s="20" t="s">
        <v>95</v>
      </c>
      <c r="BS1" s="20" t="s">
        <v>96</v>
      </c>
    </row>
    <row r="2" spans="1:71" s="21" customFormat="1" ht="20.149999999999999" customHeight="1" x14ac:dyDescent="0.35">
      <c r="A2" s="50">
        <v>3615</v>
      </c>
      <c r="B2" s="50">
        <v>3615</v>
      </c>
      <c r="C2" s="50" t="s">
        <v>282</v>
      </c>
      <c r="D2" s="51" t="s">
        <v>283</v>
      </c>
      <c r="E2" s="50" t="s">
        <v>284</v>
      </c>
      <c r="F2" s="50" t="s">
        <v>285</v>
      </c>
      <c r="G2" s="50" t="s">
        <v>0</v>
      </c>
      <c r="H2" s="50" t="s">
        <v>286</v>
      </c>
      <c r="I2" s="51" t="s">
        <v>287</v>
      </c>
      <c r="J2" s="51" t="s">
        <v>288</v>
      </c>
      <c r="K2" s="51" t="s">
        <v>289</v>
      </c>
      <c r="L2" s="51" t="s">
        <v>290</v>
      </c>
      <c r="M2" s="51" t="s">
        <v>291</v>
      </c>
      <c r="N2" s="51" t="s">
        <v>292</v>
      </c>
      <c r="O2" s="51" t="s">
        <v>293</v>
      </c>
      <c r="P2" s="51" t="s">
        <v>294</v>
      </c>
      <c r="Q2" s="51" t="s">
        <v>295</v>
      </c>
      <c r="R2" s="51" t="s">
        <v>296</v>
      </c>
      <c r="S2" s="51" t="s">
        <v>297</v>
      </c>
      <c r="T2" s="51" t="s">
        <v>298</v>
      </c>
      <c r="U2" s="51" t="s">
        <v>299</v>
      </c>
      <c r="V2" s="51" t="s">
        <v>299</v>
      </c>
      <c r="W2" s="51" t="s">
        <v>0</v>
      </c>
      <c r="X2" s="51" t="s">
        <v>300</v>
      </c>
      <c r="Y2" s="51" t="s">
        <v>301</v>
      </c>
      <c r="Z2" s="51" t="s">
        <v>302</v>
      </c>
      <c r="AA2" s="51" t="s">
        <v>303</v>
      </c>
      <c r="AB2" s="51" t="s">
        <v>304</v>
      </c>
      <c r="AC2" s="51" t="s">
        <v>305</v>
      </c>
      <c r="AD2" s="51" t="s">
        <v>306</v>
      </c>
      <c r="AE2" s="51">
        <v>60023114</v>
      </c>
      <c r="AF2" s="51" t="s">
        <v>307</v>
      </c>
      <c r="AG2" s="51" t="s">
        <v>308</v>
      </c>
      <c r="AH2" s="51" t="s">
        <v>309</v>
      </c>
      <c r="AI2" s="51" t="s">
        <v>310</v>
      </c>
      <c r="AJ2" s="51" t="s">
        <v>311</v>
      </c>
      <c r="AK2" s="51" t="s">
        <v>312</v>
      </c>
      <c r="AL2" s="51" t="s">
        <v>313</v>
      </c>
      <c r="AM2" s="51">
        <v>46023</v>
      </c>
      <c r="AN2" s="51">
        <v>2958465</v>
      </c>
      <c r="AO2" s="51" t="s">
        <v>0</v>
      </c>
      <c r="AP2" s="51" t="s">
        <v>314</v>
      </c>
      <c r="AQ2" s="51" t="s">
        <v>315</v>
      </c>
      <c r="AR2" s="51" t="s">
        <v>316</v>
      </c>
      <c r="AS2" s="51" t="s">
        <v>300</v>
      </c>
      <c r="AT2" s="51" t="s">
        <v>301</v>
      </c>
      <c r="AU2" s="50" t="s">
        <v>317</v>
      </c>
      <c r="AV2" s="51" t="s">
        <v>318</v>
      </c>
      <c r="AW2" s="51" t="s">
        <v>301</v>
      </c>
      <c r="AX2" s="51" t="s">
        <v>301</v>
      </c>
      <c r="AY2" s="51" t="s">
        <v>319</v>
      </c>
      <c r="AZ2" s="51" t="s">
        <v>320</v>
      </c>
      <c r="BA2" s="51" t="s">
        <v>320</v>
      </c>
      <c r="BB2" s="51" t="s">
        <v>321</v>
      </c>
      <c r="BC2" s="51" t="s">
        <v>322</v>
      </c>
      <c r="BD2" s="51" t="s">
        <v>322</v>
      </c>
      <c r="BE2" s="51" t="s">
        <v>0</v>
      </c>
      <c r="BF2" s="51"/>
      <c r="BG2" s="51" t="s">
        <v>0</v>
      </c>
      <c r="BH2" s="51" t="s">
        <v>301</v>
      </c>
      <c r="BI2" s="51" t="s">
        <v>323</v>
      </c>
      <c r="BJ2" s="51" t="s">
        <v>324</v>
      </c>
      <c r="BK2" s="51" t="s">
        <v>325</v>
      </c>
      <c r="BL2" s="51" t="s">
        <v>326</v>
      </c>
      <c r="BM2" s="51" t="s">
        <v>327</v>
      </c>
      <c r="BN2" s="51" t="s">
        <v>328</v>
      </c>
      <c r="BO2" s="51" t="s">
        <v>290</v>
      </c>
      <c r="BP2" s="51" t="s">
        <v>329</v>
      </c>
      <c r="BQ2" s="51"/>
      <c r="BR2" s="51"/>
      <c r="BS2" s="51" t="s">
        <v>330</v>
      </c>
    </row>
  </sheetData>
  <conditionalFormatting sqref="B1">
    <cfRule type="duplicateValues" dxfId="8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"/>
  <sheetViews>
    <sheetView workbookViewId="0">
      <selection activeCell="A2" sqref="A2:XFD2"/>
    </sheetView>
  </sheetViews>
  <sheetFormatPr defaultRowHeight="14.5" x14ac:dyDescent="0.35"/>
  <sheetData>
    <row r="1" spans="1:59" s="23" customFormat="1" ht="52" x14ac:dyDescent="0.3">
      <c r="A1" s="22" t="s">
        <v>97</v>
      </c>
      <c r="B1" s="22" t="s">
        <v>98</v>
      </c>
      <c r="C1" s="22" t="s">
        <v>99</v>
      </c>
      <c r="D1" s="22" t="s">
        <v>100</v>
      </c>
      <c r="E1" s="22" t="s">
        <v>101</v>
      </c>
      <c r="F1" s="22" t="s">
        <v>102</v>
      </c>
      <c r="G1" s="22" t="s">
        <v>103</v>
      </c>
      <c r="H1" s="22" t="s">
        <v>104</v>
      </c>
      <c r="I1" s="22" t="s">
        <v>105</v>
      </c>
      <c r="J1" s="22" t="s">
        <v>106</v>
      </c>
      <c r="K1" s="22" t="s">
        <v>107</v>
      </c>
      <c r="L1" s="22" t="s">
        <v>108</v>
      </c>
      <c r="M1" s="22" t="s">
        <v>109</v>
      </c>
      <c r="N1" s="22" t="s">
        <v>110</v>
      </c>
      <c r="O1" s="22" t="s">
        <v>111</v>
      </c>
      <c r="P1" s="22" t="s">
        <v>112</v>
      </c>
      <c r="Q1" s="22" t="s">
        <v>113</v>
      </c>
      <c r="R1" s="22" t="s">
        <v>114</v>
      </c>
      <c r="S1" s="22" t="s">
        <v>115</v>
      </c>
      <c r="T1" s="22" t="s">
        <v>116</v>
      </c>
      <c r="U1" s="22" t="s">
        <v>117</v>
      </c>
      <c r="V1" s="22" t="s">
        <v>118</v>
      </c>
      <c r="W1" s="22" t="s">
        <v>119</v>
      </c>
      <c r="X1" s="22" t="s">
        <v>120</v>
      </c>
      <c r="Y1" s="22" t="s">
        <v>121</v>
      </c>
      <c r="Z1" s="22" t="s">
        <v>122</v>
      </c>
      <c r="AA1" s="22" t="s">
        <v>123</v>
      </c>
      <c r="AB1" s="22" t="s">
        <v>124</v>
      </c>
      <c r="AC1" s="22" t="s">
        <v>125</v>
      </c>
      <c r="AD1" s="22" t="s">
        <v>126</v>
      </c>
      <c r="AE1" s="22" t="s">
        <v>127</v>
      </c>
      <c r="AF1" s="22" t="s">
        <v>128</v>
      </c>
      <c r="AG1" s="22" t="s">
        <v>129</v>
      </c>
      <c r="AH1" s="22" t="s">
        <v>130</v>
      </c>
      <c r="AI1" s="22" t="s">
        <v>131</v>
      </c>
      <c r="AJ1" s="22" t="s">
        <v>132</v>
      </c>
      <c r="AK1" s="22" t="s">
        <v>133</v>
      </c>
      <c r="AL1" s="22" t="s">
        <v>134</v>
      </c>
      <c r="AM1" s="22" t="s">
        <v>135</v>
      </c>
      <c r="AN1" s="22" t="s">
        <v>136</v>
      </c>
      <c r="AO1" s="22" t="s">
        <v>137</v>
      </c>
      <c r="AP1" s="22" t="s">
        <v>138</v>
      </c>
      <c r="AQ1" s="22" t="s">
        <v>139</v>
      </c>
      <c r="AR1" s="22" t="s">
        <v>140</v>
      </c>
      <c r="AS1" s="22" t="s">
        <v>141</v>
      </c>
      <c r="AT1" s="22" t="s">
        <v>142</v>
      </c>
      <c r="AU1" s="22" t="s">
        <v>143</v>
      </c>
      <c r="AV1" s="22" t="s">
        <v>144</v>
      </c>
      <c r="AW1" s="22" t="s">
        <v>145</v>
      </c>
      <c r="AX1" s="22" t="s">
        <v>146</v>
      </c>
      <c r="AY1" s="22" t="s">
        <v>147</v>
      </c>
      <c r="AZ1" s="22" t="s">
        <v>148</v>
      </c>
      <c r="BA1" s="22" t="s">
        <v>149</v>
      </c>
      <c r="BB1" s="22" t="s">
        <v>150</v>
      </c>
      <c r="BC1" s="22" t="s">
        <v>151</v>
      </c>
      <c r="BD1" s="22" t="s">
        <v>152</v>
      </c>
      <c r="BE1" s="22" t="s">
        <v>153</v>
      </c>
      <c r="BF1" s="22" t="s">
        <v>154</v>
      </c>
      <c r="BG1" s="22" t="s">
        <v>155</v>
      </c>
    </row>
    <row r="2" spans="1:59" s="56" customFormat="1" ht="13" x14ac:dyDescent="0.3">
      <c r="A2" s="52">
        <v>1</v>
      </c>
      <c r="B2" s="52" t="s">
        <v>331</v>
      </c>
      <c r="C2" s="52" t="s">
        <v>332</v>
      </c>
      <c r="D2" s="52" t="s">
        <v>333</v>
      </c>
      <c r="E2" s="52" t="s">
        <v>334</v>
      </c>
      <c r="F2" s="52" t="s">
        <v>335</v>
      </c>
      <c r="G2" s="52"/>
      <c r="H2" s="52" t="s">
        <v>336</v>
      </c>
      <c r="I2" s="52" t="s">
        <v>334</v>
      </c>
      <c r="J2" s="52" t="s">
        <v>337</v>
      </c>
      <c r="K2" s="52" t="s">
        <v>338</v>
      </c>
      <c r="L2" s="52" t="s">
        <v>339</v>
      </c>
      <c r="M2" s="52" t="s">
        <v>340</v>
      </c>
      <c r="N2" s="52" t="s">
        <v>341</v>
      </c>
      <c r="O2" s="52"/>
      <c r="P2" s="52"/>
      <c r="Q2" s="52"/>
      <c r="R2" s="52"/>
      <c r="S2" s="52" t="s">
        <v>342</v>
      </c>
      <c r="T2" s="52">
        <v>1</v>
      </c>
      <c r="U2" s="52">
        <v>5</v>
      </c>
      <c r="V2" s="52" t="s">
        <v>343</v>
      </c>
      <c r="W2" s="53">
        <v>500000</v>
      </c>
      <c r="X2" s="53">
        <v>500000</v>
      </c>
      <c r="Y2" s="53">
        <v>500000</v>
      </c>
      <c r="Z2" s="53">
        <v>493151</v>
      </c>
      <c r="AA2" s="52" t="s">
        <v>344</v>
      </c>
      <c r="AB2" s="52" t="s">
        <v>345</v>
      </c>
      <c r="AC2" s="52" t="s">
        <v>346</v>
      </c>
      <c r="AD2" s="52" t="s">
        <v>347</v>
      </c>
      <c r="AE2" s="53">
        <v>500000</v>
      </c>
      <c r="AF2" s="53">
        <v>500000</v>
      </c>
      <c r="AG2" s="53">
        <v>500000</v>
      </c>
      <c r="AH2" s="53">
        <v>493150.68</v>
      </c>
      <c r="AI2" s="52" t="s">
        <v>348</v>
      </c>
      <c r="AJ2" s="52" t="s">
        <v>349</v>
      </c>
      <c r="AK2" s="52" t="s">
        <v>350</v>
      </c>
      <c r="AL2" s="52" t="s">
        <v>351</v>
      </c>
      <c r="AM2" s="54">
        <v>46204</v>
      </c>
      <c r="AN2" s="54">
        <v>46569</v>
      </c>
      <c r="AO2" s="54">
        <v>45814</v>
      </c>
      <c r="AP2" s="54">
        <v>46203</v>
      </c>
      <c r="AQ2" s="52" t="s">
        <v>352</v>
      </c>
      <c r="AR2" s="52">
        <v>0.5</v>
      </c>
      <c r="AS2" s="52">
        <v>0.49</v>
      </c>
      <c r="AT2" s="52" t="s">
        <v>332</v>
      </c>
      <c r="AU2" s="52" t="s">
        <v>353</v>
      </c>
      <c r="AV2" s="55">
        <v>46029</v>
      </c>
      <c r="AW2" s="52" t="s">
        <v>354</v>
      </c>
      <c r="AX2" s="52"/>
      <c r="AY2" s="52"/>
      <c r="AZ2" s="52"/>
      <c r="BA2" s="52"/>
      <c r="BB2" s="52"/>
      <c r="BC2" s="52" t="b">
        <v>0</v>
      </c>
      <c r="BD2" s="52">
        <v>500000</v>
      </c>
      <c r="BE2" s="52">
        <v>0</v>
      </c>
      <c r="BF2" s="52">
        <v>0</v>
      </c>
      <c r="BG2" s="5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2"/>
  <sheetViews>
    <sheetView topLeftCell="CU1" workbookViewId="0">
      <selection activeCell="A2" sqref="A2:XFD2"/>
    </sheetView>
  </sheetViews>
  <sheetFormatPr defaultRowHeight="14.5" x14ac:dyDescent="0.35"/>
  <sheetData>
    <row r="1" spans="1:104" s="21" customFormat="1" ht="16" x14ac:dyDescent="0.35">
      <c r="A1" s="24" t="s">
        <v>156</v>
      </c>
      <c r="B1" s="24" t="s">
        <v>157</v>
      </c>
      <c r="C1" s="25" t="s">
        <v>158</v>
      </c>
      <c r="D1" s="24" t="s">
        <v>159</v>
      </c>
      <c r="E1" s="24" t="s">
        <v>93</v>
      </c>
      <c r="F1" s="24" t="s">
        <v>160</v>
      </c>
      <c r="G1" s="24" t="s">
        <v>161</v>
      </c>
      <c r="H1" s="24" t="s">
        <v>162</v>
      </c>
      <c r="I1" s="24" t="s">
        <v>163</v>
      </c>
      <c r="J1" s="24" t="s">
        <v>72</v>
      </c>
      <c r="K1" s="24" t="s">
        <v>94</v>
      </c>
      <c r="L1" s="24" t="s">
        <v>164</v>
      </c>
      <c r="M1" s="24" t="s">
        <v>165</v>
      </c>
      <c r="N1" s="24" t="s">
        <v>166</v>
      </c>
      <c r="O1" s="24" t="s">
        <v>167</v>
      </c>
      <c r="P1" s="26" t="s">
        <v>168</v>
      </c>
      <c r="Q1" s="26" t="s">
        <v>169</v>
      </c>
      <c r="R1" s="26" t="s">
        <v>170</v>
      </c>
      <c r="S1" s="26" t="s">
        <v>171</v>
      </c>
      <c r="T1" s="26" t="s">
        <v>172</v>
      </c>
      <c r="U1" s="26" t="s">
        <v>173</v>
      </c>
      <c r="V1" s="24" t="s">
        <v>174</v>
      </c>
      <c r="W1" s="24" t="s">
        <v>175</v>
      </c>
      <c r="X1" s="24" t="s">
        <v>176</v>
      </c>
      <c r="Y1" s="24" t="s">
        <v>177</v>
      </c>
      <c r="Z1" s="24" t="s">
        <v>178</v>
      </c>
      <c r="AA1" s="24" t="s">
        <v>179</v>
      </c>
      <c r="AB1" s="24" t="s">
        <v>41</v>
      </c>
      <c r="AC1" s="24" t="s">
        <v>42</v>
      </c>
      <c r="AD1" s="24" t="s">
        <v>43</v>
      </c>
      <c r="AE1" s="24" t="s">
        <v>180</v>
      </c>
      <c r="AF1" s="24" t="s">
        <v>181</v>
      </c>
      <c r="AG1" s="24" t="s">
        <v>182</v>
      </c>
      <c r="AH1" s="24" t="s">
        <v>183</v>
      </c>
      <c r="AI1" s="24" t="s">
        <v>184</v>
      </c>
      <c r="AJ1" s="24" t="s">
        <v>185</v>
      </c>
      <c r="AK1" s="24" t="s">
        <v>186</v>
      </c>
      <c r="AL1" s="24" t="s">
        <v>187</v>
      </c>
      <c r="AM1" s="24" t="s">
        <v>188</v>
      </c>
      <c r="AN1" s="24" t="s">
        <v>189</v>
      </c>
      <c r="AO1" s="24" t="s">
        <v>190</v>
      </c>
      <c r="AP1" s="24" t="s">
        <v>191</v>
      </c>
      <c r="AQ1" s="24" t="s">
        <v>192</v>
      </c>
      <c r="AR1" s="24" t="s">
        <v>193</v>
      </c>
      <c r="AS1" s="24" t="s">
        <v>194</v>
      </c>
      <c r="AT1" s="24" t="s">
        <v>195</v>
      </c>
      <c r="AU1" s="24" t="s">
        <v>196</v>
      </c>
      <c r="AV1" s="24" t="s">
        <v>197</v>
      </c>
      <c r="AW1" s="24" t="s">
        <v>198</v>
      </c>
      <c r="AX1" s="24" t="s">
        <v>199</v>
      </c>
      <c r="AY1" s="24" t="s">
        <v>200</v>
      </c>
      <c r="AZ1" s="24" t="s">
        <v>50</v>
      </c>
      <c r="BA1" s="24" t="s">
        <v>201</v>
      </c>
      <c r="BB1" s="24" t="s">
        <v>202</v>
      </c>
      <c r="BC1" s="24" t="s">
        <v>203</v>
      </c>
      <c r="BD1" s="24" t="s">
        <v>73</v>
      </c>
      <c r="BE1" s="24" t="s">
        <v>98</v>
      </c>
      <c r="BF1" s="24" t="s">
        <v>204</v>
      </c>
      <c r="BG1" s="24" t="s">
        <v>37</v>
      </c>
      <c r="BH1" s="24" t="s">
        <v>205</v>
      </c>
      <c r="BI1" s="24" t="s">
        <v>79</v>
      </c>
      <c r="BJ1" s="24" t="s">
        <v>206</v>
      </c>
      <c r="BK1" s="24" t="s">
        <v>35</v>
      </c>
      <c r="BL1" s="24" t="s">
        <v>207</v>
      </c>
      <c r="BM1" s="24" t="s">
        <v>208</v>
      </c>
      <c r="BN1" s="24" t="s">
        <v>209</v>
      </c>
      <c r="BO1" s="24" t="s">
        <v>210</v>
      </c>
      <c r="BP1" s="24" t="s">
        <v>211</v>
      </c>
      <c r="BQ1" s="24" t="s">
        <v>212</v>
      </c>
      <c r="BR1" s="24" t="s">
        <v>213</v>
      </c>
      <c r="BS1" s="24" t="s">
        <v>214</v>
      </c>
      <c r="BT1" s="24" t="s">
        <v>215</v>
      </c>
      <c r="BU1" s="24" t="s">
        <v>216</v>
      </c>
      <c r="BV1" s="24" t="s">
        <v>217</v>
      </c>
      <c r="BW1" s="24" t="s">
        <v>218</v>
      </c>
      <c r="BX1" s="24" t="s">
        <v>219</v>
      </c>
      <c r="BY1" s="24" t="s">
        <v>220</v>
      </c>
      <c r="BZ1" s="24" t="s">
        <v>221</v>
      </c>
      <c r="CA1" s="24" t="s">
        <v>222</v>
      </c>
      <c r="CB1" s="24" t="s">
        <v>223</v>
      </c>
      <c r="CC1" s="24" t="s">
        <v>224</v>
      </c>
      <c r="CD1" s="24" t="s">
        <v>225</v>
      </c>
      <c r="CE1" s="24" t="s">
        <v>71</v>
      </c>
      <c r="CF1" s="24" t="s">
        <v>226</v>
      </c>
      <c r="CG1" s="24" t="s">
        <v>227</v>
      </c>
      <c r="CH1" s="24" t="s">
        <v>228</v>
      </c>
      <c r="CI1" s="24" t="s">
        <v>229</v>
      </c>
      <c r="CJ1" s="24" t="s">
        <v>230</v>
      </c>
      <c r="CK1" s="24" t="s">
        <v>231</v>
      </c>
      <c r="CL1" s="24" t="s">
        <v>232</v>
      </c>
      <c r="CM1" s="24" t="s">
        <v>233</v>
      </c>
      <c r="CN1" s="24" t="s">
        <v>234</v>
      </c>
      <c r="CO1" s="24" t="s">
        <v>235</v>
      </c>
      <c r="CP1" s="24" t="s">
        <v>236</v>
      </c>
      <c r="CQ1" s="24" t="s">
        <v>237</v>
      </c>
      <c r="CR1" s="24" t="s">
        <v>238</v>
      </c>
      <c r="CS1" s="24" t="s">
        <v>239</v>
      </c>
      <c r="CT1" s="24" t="s">
        <v>240</v>
      </c>
      <c r="CU1" s="24" t="s">
        <v>241</v>
      </c>
      <c r="CV1" s="27" t="s">
        <v>242</v>
      </c>
      <c r="CW1" s="27" t="s">
        <v>243</v>
      </c>
      <c r="CX1" s="27" t="s">
        <v>244</v>
      </c>
      <c r="CY1" s="27" t="s">
        <v>245</v>
      </c>
      <c r="CZ1" s="27" t="s">
        <v>246</v>
      </c>
    </row>
    <row r="2" spans="1:104" s="21" customFormat="1" x14ac:dyDescent="0.35">
      <c r="A2" s="57">
        <v>259055</v>
      </c>
      <c r="B2" s="57" t="s">
        <v>355</v>
      </c>
      <c r="C2" s="57" t="s">
        <v>356</v>
      </c>
      <c r="D2" s="57" t="s">
        <v>287</v>
      </c>
      <c r="E2" s="57" t="s">
        <v>357</v>
      </c>
      <c r="F2" s="57" t="s">
        <v>358</v>
      </c>
      <c r="G2" s="57" t="s">
        <v>359</v>
      </c>
      <c r="H2" s="57" t="s">
        <v>360</v>
      </c>
      <c r="I2" s="57" t="s">
        <v>361</v>
      </c>
      <c r="J2" s="58" t="s">
        <v>362</v>
      </c>
      <c r="K2" s="57" t="s">
        <v>363</v>
      </c>
      <c r="L2" s="57" t="s">
        <v>364</v>
      </c>
      <c r="M2" s="57" t="s">
        <v>365</v>
      </c>
      <c r="N2" s="57" t="s">
        <v>366</v>
      </c>
      <c r="O2" s="57" t="s">
        <v>367</v>
      </c>
      <c r="P2" s="59" t="s">
        <v>368</v>
      </c>
      <c r="Q2" s="59" t="s">
        <v>369</v>
      </c>
      <c r="R2" s="59"/>
      <c r="S2" s="59" t="s">
        <v>370</v>
      </c>
      <c r="T2" s="59" t="s">
        <v>371</v>
      </c>
      <c r="U2" s="59" t="s">
        <v>372</v>
      </c>
      <c r="V2" s="60"/>
      <c r="W2" s="60" t="s">
        <v>373</v>
      </c>
      <c r="X2" s="60" t="s">
        <v>373</v>
      </c>
      <c r="Y2" s="60" t="s">
        <v>374</v>
      </c>
      <c r="Z2" s="60">
        <v>7</v>
      </c>
      <c r="AA2" s="57" t="s">
        <v>375</v>
      </c>
      <c r="AB2" s="57" t="s">
        <v>376</v>
      </c>
      <c r="AC2" s="57" t="s">
        <v>377</v>
      </c>
      <c r="AD2" s="57" t="s">
        <v>378</v>
      </c>
      <c r="AE2" s="57">
        <v>1</v>
      </c>
      <c r="AF2" s="57">
        <v>1</v>
      </c>
      <c r="AG2" s="57">
        <v>1</v>
      </c>
      <c r="AH2" s="57">
        <v>0</v>
      </c>
      <c r="AI2" s="57">
        <v>0</v>
      </c>
      <c r="AJ2" s="57">
        <v>1</v>
      </c>
      <c r="AK2" s="57">
        <v>0</v>
      </c>
      <c r="AL2" s="57">
        <v>1</v>
      </c>
      <c r="AM2" s="57">
        <v>0</v>
      </c>
      <c r="AN2" s="57">
        <v>0</v>
      </c>
      <c r="AO2" s="57">
        <v>0</v>
      </c>
      <c r="AP2" s="57">
        <v>0</v>
      </c>
      <c r="AQ2" s="57">
        <v>0</v>
      </c>
      <c r="AR2" s="57">
        <v>0</v>
      </c>
      <c r="AS2" s="57">
        <v>0</v>
      </c>
      <c r="AT2" s="57">
        <v>0</v>
      </c>
      <c r="AU2" s="57">
        <v>0</v>
      </c>
      <c r="AV2" s="57">
        <v>0</v>
      </c>
      <c r="AW2" s="57">
        <v>0</v>
      </c>
      <c r="AX2" s="57" t="s">
        <v>379</v>
      </c>
      <c r="AY2" s="57" t="s">
        <v>300</v>
      </c>
      <c r="AZ2" s="57" t="s">
        <v>301</v>
      </c>
      <c r="BA2" s="57" t="s">
        <v>380</v>
      </c>
      <c r="BB2" s="57" t="s">
        <v>381</v>
      </c>
      <c r="BC2" s="57" t="s">
        <v>382</v>
      </c>
      <c r="BD2" s="57" t="s">
        <v>383</v>
      </c>
      <c r="BE2" s="57" t="s">
        <v>384</v>
      </c>
      <c r="BF2" s="57" t="s">
        <v>385</v>
      </c>
      <c r="BG2" s="57" t="s">
        <v>385</v>
      </c>
      <c r="BH2" s="57" t="s">
        <v>386</v>
      </c>
      <c r="BI2" s="57" t="s">
        <v>387</v>
      </c>
      <c r="BJ2" s="57" t="s">
        <v>388</v>
      </c>
      <c r="BK2" s="57" t="s">
        <v>288</v>
      </c>
      <c r="BL2" s="57" t="s">
        <v>389</v>
      </c>
      <c r="BM2" s="57" t="s">
        <v>390</v>
      </c>
      <c r="BN2" s="57" t="s">
        <v>391</v>
      </c>
      <c r="BO2" s="57" t="s">
        <v>392</v>
      </c>
      <c r="BP2" s="57" t="s">
        <v>393</v>
      </c>
      <c r="BQ2" s="57" t="s">
        <v>394</v>
      </c>
      <c r="BR2" s="57" t="s">
        <v>395</v>
      </c>
      <c r="BS2" s="57"/>
      <c r="BT2" s="57" t="s">
        <v>0</v>
      </c>
      <c r="BU2" s="61" t="s">
        <v>396</v>
      </c>
      <c r="BV2" s="57">
        <v>46086</v>
      </c>
      <c r="BW2" s="57">
        <v>200</v>
      </c>
      <c r="BX2" s="57" t="s">
        <v>397</v>
      </c>
      <c r="BY2" s="57" t="s">
        <v>398</v>
      </c>
      <c r="BZ2" s="57" t="s">
        <v>399</v>
      </c>
      <c r="CA2" s="57" t="s">
        <v>400</v>
      </c>
      <c r="CB2" s="57" t="s">
        <v>401</v>
      </c>
      <c r="CC2" s="57" t="s">
        <v>373</v>
      </c>
      <c r="CD2" s="57" t="s">
        <v>402</v>
      </c>
      <c r="CE2" s="57" t="s">
        <v>301</v>
      </c>
      <c r="CF2" s="57"/>
      <c r="CG2" s="57"/>
      <c r="CH2" s="57" t="s">
        <v>403</v>
      </c>
      <c r="CI2" s="57" t="s">
        <v>404</v>
      </c>
      <c r="CJ2" s="57" t="s">
        <v>405</v>
      </c>
      <c r="CK2" s="57" t="s">
        <v>406</v>
      </c>
      <c r="CL2" s="57" t="s">
        <v>407</v>
      </c>
      <c r="CM2" s="57" t="s">
        <v>408</v>
      </c>
      <c r="CN2" s="57" t="s">
        <v>409</v>
      </c>
      <c r="CO2" s="57">
        <v>1</v>
      </c>
      <c r="CP2" s="57" t="s">
        <v>410</v>
      </c>
      <c r="CQ2" s="57" t="s">
        <v>411</v>
      </c>
      <c r="CR2" s="57"/>
      <c r="CS2" s="57" t="s">
        <v>0</v>
      </c>
      <c r="CT2" s="57" t="s">
        <v>412</v>
      </c>
      <c r="CU2" s="57" t="s">
        <v>413</v>
      </c>
      <c r="CV2" s="57" t="s">
        <v>414</v>
      </c>
      <c r="CW2" s="57" t="s">
        <v>0</v>
      </c>
      <c r="CX2" s="57" t="s">
        <v>0</v>
      </c>
      <c r="CY2" s="57" t="s">
        <v>0</v>
      </c>
      <c r="CZ2" s="57" t="s">
        <v>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selection activeCell="A2" sqref="A2:XFD2"/>
    </sheetView>
  </sheetViews>
  <sheetFormatPr defaultRowHeight="14.5" x14ac:dyDescent="0.35"/>
  <sheetData>
    <row r="1" spans="1:19" ht="15.5" x14ac:dyDescent="0.35">
      <c r="A1" s="28" t="s">
        <v>26</v>
      </c>
      <c r="B1" s="28" t="s">
        <v>28</v>
      </c>
      <c r="C1" s="29" t="s">
        <v>247</v>
      </c>
      <c r="D1" s="29" t="s">
        <v>45</v>
      </c>
      <c r="E1" s="29" t="s">
        <v>40</v>
      </c>
      <c r="F1" s="29" t="s">
        <v>248</v>
      </c>
      <c r="G1" s="29" t="s">
        <v>249</v>
      </c>
      <c r="H1" s="28" t="s">
        <v>57</v>
      </c>
      <c r="I1" s="30" t="s">
        <v>86</v>
      </c>
      <c r="J1" s="30" t="s">
        <v>250</v>
      </c>
      <c r="K1" s="30" t="s">
        <v>62</v>
      </c>
      <c r="L1" s="30" t="s">
        <v>251</v>
      </c>
      <c r="M1" s="31" t="s">
        <v>252</v>
      </c>
      <c r="N1" s="31" t="s">
        <v>253</v>
      </c>
      <c r="O1" s="28" t="s">
        <v>254</v>
      </c>
      <c r="P1" s="28" t="s">
        <v>255</v>
      </c>
      <c r="Q1" s="28" t="s">
        <v>256</v>
      </c>
      <c r="R1" s="28" t="s">
        <v>257</v>
      </c>
      <c r="S1" s="32" t="s">
        <v>258</v>
      </c>
    </row>
    <row r="2" spans="1:19" x14ac:dyDescent="0.35">
      <c r="A2" s="62">
        <v>49155</v>
      </c>
      <c r="B2" s="63" t="s">
        <v>416</v>
      </c>
      <c r="C2" s="64" t="s">
        <v>417</v>
      </c>
      <c r="D2" s="64" t="s">
        <v>418</v>
      </c>
      <c r="E2" s="65" t="s">
        <v>293</v>
      </c>
      <c r="F2" s="65">
        <v>11.600316666663275</v>
      </c>
      <c r="G2" s="65" t="s">
        <v>419</v>
      </c>
      <c r="H2" s="63" t="s">
        <v>420</v>
      </c>
      <c r="I2" s="66" t="s">
        <v>421</v>
      </c>
      <c r="J2" s="66" t="s">
        <v>422</v>
      </c>
      <c r="K2" s="66" t="s">
        <v>423</v>
      </c>
      <c r="L2" s="66" t="s">
        <v>424</v>
      </c>
      <c r="M2" s="67"/>
      <c r="N2" s="66"/>
      <c r="O2" s="68">
        <v>46091</v>
      </c>
      <c r="P2" s="62" t="s">
        <v>425</v>
      </c>
      <c r="Q2" s="62" t="s">
        <v>426</v>
      </c>
      <c r="R2" s="69" t="s">
        <v>427</v>
      </c>
      <c r="S2" s="62" t="s">
        <v>301</v>
      </c>
    </row>
  </sheetData>
  <conditionalFormatting sqref="A1">
    <cfRule type="duplicateValues" dxfId="7" priority="3"/>
    <cfRule type="duplicateValues" dxfId="6" priority="4"/>
  </conditionalFormatting>
  <conditionalFormatting sqref="A2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"/>
  <sheetViews>
    <sheetView tabSelected="1" workbookViewId="0">
      <selection activeCell="C7" sqref="C7"/>
    </sheetView>
  </sheetViews>
  <sheetFormatPr defaultRowHeight="14.5" x14ac:dyDescent="0.35"/>
  <sheetData>
    <row r="1" spans="1:48" s="37" customFormat="1" x14ac:dyDescent="0.35">
      <c r="A1" s="33" t="s">
        <v>259</v>
      </c>
      <c r="B1" s="34" t="s">
        <v>174</v>
      </c>
      <c r="C1" s="34" t="s">
        <v>245</v>
      </c>
      <c r="D1" s="34" t="s">
        <v>260</v>
      </c>
      <c r="E1" s="34" t="s">
        <v>261</v>
      </c>
      <c r="F1" s="34" t="s">
        <v>30</v>
      </c>
      <c r="G1" s="34" t="s">
        <v>262</v>
      </c>
      <c r="H1" s="35" t="s">
        <v>263</v>
      </c>
      <c r="I1" s="35" t="s">
        <v>264</v>
      </c>
      <c r="J1" s="34" t="s">
        <v>265</v>
      </c>
      <c r="K1" s="34" t="s">
        <v>200</v>
      </c>
      <c r="L1" s="34" t="s">
        <v>50</v>
      </c>
      <c r="M1" s="34" t="s">
        <v>266</v>
      </c>
      <c r="N1" s="34" t="s">
        <v>160</v>
      </c>
      <c r="O1" s="34" t="s">
        <v>267</v>
      </c>
      <c r="P1" s="34" t="s">
        <v>268</v>
      </c>
      <c r="Q1" s="34" t="s">
        <v>269</v>
      </c>
      <c r="R1" s="34" t="s">
        <v>178</v>
      </c>
      <c r="S1" s="34" t="s">
        <v>270</v>
      </c>
      <c r="T1" s="34" t="s">
        <v>271</v>
      </c>
      <c r="U1" s="34" t="s">
        <v>157</v>
      </c>
      <c r="V1" s="34" t="s">
        <v>98</v>
      </c>
      <c r="W1" s="34" t="s">
        <v>204</v>
      </c>
      <c r="X1" s="34" t="s">
        <v>159</v>
      </c>
      <c r="Y1" s="34" t="s">
        <v>93</v>
      </c>
      <c r="Z1" s="34" t="s">
        <v>207</v>
      </c>
      <c r="AA1" s="34" t="s">
        <v>208</v>
      </c>
      <c r="AB1" s="34" t="s">
        <v>225</v>
      </c>
      <c r="AC1" s="34" t="s">
        <v>71</v>
      </c>
      <c r="AD1" s="34" t="s">
        <v>210</v>
      </c>
      <c r="AE1" s="34" t="s">
        <v>211</v>
      </c>
      <c r="AF1" s="34" t="s">
        <v>212</v>
      </c>
      <c r="AG1" s="34" t="s">
        <v>213</v>
      </c>
      <c r="AH1" s="34" t="s">
        <v>214</v>
      </c>
      <c r="AI1" s="34" t="s">
        <v>216</v>
      </c>
      <c r="AJ1" s="34" t="s">
        <v>220</v>
      </c>
      <c r="AK1" s="34" t="s">
        <v>272</v>
      </c>
      <c r="AL1" s="34" t="s">
        <v>273</v>
      </c>
      <c r="AM1" s="34" t="s">
        <v>180</v>
      </c>
      <c r="AN1" s="34" t="s">
        <v>199</v>
      </c>
      <c r="AO1" s="34" t="s">
        <v>274</v>
      </c>
      <c r="AP1" s="34" t="s">
        <v>275</v>
      </c>
      <c r="AQ1" s="34" t="s">
        <v>226</v>
      </c>
      <c r="AR1" s="36" t="s">
        <v>276</v>
      </c>
    </row>
    <row r="2" spans="1:48" s="37" customFormat="1" x14ac:dyDescent="0.35">
      <c r="A2" s="70">
        <v>276105</v>
      </c>
      <c r="B2" s="71"/>
      <c r="C2" s="71" t="s">
        <v>428</v>
      </c>
      <c r="D2" s="71" t="s">
        <v>429</v>
      </c>
      <c r="E2" s="71"/>
      <c r="F2" s="71" t="s">
        <v>430</v>
      </c>
      <c r="H2" s="72">
        <v>46092</v>
      </c>
      <c r="I2" s="72" t="s">
        <v>431</v>
      </c>
      <c r="K2" s="71" t="s">
        <v>300</v>
      </c>
      <c r="L2" s="71" t="s">
        <v>301</v>
      </c>
      <c r="M2" s="71" t="s">
        <v>432</v>
      </c>
      <c r="N2" s="71"/>
      <c r="O2" s="73">
        <v>46091</v>
      </c>
      <c r="P2" s="73">
        <v>46082</v>
      </c>
      <c r="Q2" s="71">
        <v>1</v>
      </c>
      <c r="R2" s="71">
        <v>-9</v>
      </c>
      <c r="S2" s="71" t="s">
        <v>433</v>
      </c>
      <c r="T2" s="71" t="s">
        <v>434</v>
      </c>
      <c r="U2" s="71" t="s">
        <v>435</v>
      </c>
      <c r="V2" s="71"/>
      <c r="W2" s="71" t="s">
        <v>385</v>
      </c>
      <c r="X2" s="71" t="s">
        <v>287</v>
      </c>
      <c r="Y2" s="71"/>
      <c r="Z2" s="71"/>
      <c r="AA2" s="71"/>
      <c r="AB2" s="71" t="s">
        <v>300</v>
      </c>
      <c r="AC2" s="71" t="s">
        <v>301</v>
      </c>
      <c r="AD2" s="71" t="s">
        <v>436</v>
      </c>
      <c r="AE2" s="71" t="s">
        <v>393</v>
      </c>
      <c r="AF2" s="71" t="s">
        <v>394</v>
      </c>
      <c r="AG2" s="71"/>
      <c r="AH2" s="71"/>
      <c r="AI2" s="71"/>
      <c r="AJ2" s="71" t="s">
        <v>437</v>
      </c>
      <c r="AK2" s="72">
        <v>46072</v>
      </c>
      <c r="AL2" s="71" t="s">
        <v>438</v>
      </c>
      <c r="AM2" s="71" t="s">
        <v>439</v>
      </c>
      <c r="AN2" s="71">
        <v>1</v>
      </c>
      <c r="AO2" s="71" t="s">
        <v>440</v>
      </c>
      <c r="AP2" s="71" t="s">
        <v>441</v>
      </c>
      <c r="AQ2" s="71" t="s">
        <v>301</v>
      </c>
      <c r="AR2" s="71"/>
      <c r="AS2" s="71" t="s">
        <v>442</v>
      </c>
      <c r="AT2" s="72">
        <v>46092</v>
      </c>
      <c r="AU2" s="71"/>
      <c r="AV2" s="74"/>
    </row>
  </sheetData>
  <conditionalFormatting sqref="A1">
    <cfRule type="duplicateValues" dxfId="5" priority="3"/>
    <cfRule type="duplicateValues" dxfId="4" priority="4"/>
  </conditionalFormatting>
  <conditionalFormatting sqref="A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FINANCE TRACKER</vt:lpstr>
      <vt:lpstr>EMPLOYEE MASTER</vt:lpstr>
      <vt:lpstr>SALESFORCE DATA</vt:lpstr>
      <vt:lpstr>DEMAND DATA</vt:lpstr>
      <vt:lpstr>BENCH DATA</vt:lpstr>
      <vt:lpstr>YTD FULFILLMENT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Adviteeya Shrav</dc:creator>
  <cp:lastModifiedBy>Adviteeya Shrav</cp:lastModifiedBy>
  <dcterms:created xsi:type="dcterms:W3CDTF">2026-03-26T08:06:32Z</dcterms:created>
  <dcterms:modified xsi:type="dcterms:W3CDTF">2026-03-26T08:17:53Z</dcterms:modified>
</cp:coreProperties>
</file>